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malo\Downloads\"/>
    </mc:Choice>
  </mc:AlternateContent>
  <xr:revisionPtr revIDLastSave="0" documentId="13_ncr:1_{D94D352C-E005-4AA8-8CC6-DBD1A2BB202E}" xr6:coauthVersionLast="47" xr6:coauthVersionMax="47" xr10:uidLastSave="{00000000-0000-0000-0000-000000000000}"/>
  <bookViews>
    <workbookView xWindow="-98" yWindow="-98" windowWidth="23596" windowHeight="15076" tabRatio="500" activeTab="1" xr2:uid="{00000000-000D-0000-FFFF-FFFF00000000}"/>
  </bookViews>
  <sheets>
    <sheet name="Statistics" sheetId="1" r:id="rId1"/>
    <sheet name="(a) Entity Mistranslation" sheetId="2" r:id="rId2"/>
    <sheet name="(b) Value Typo-Error" sheetId="3" r:id="rId3"/>
    <sheet name="(c) Added-Dropped Constraints" sheetId="4" r:id="rId4"/>
    <sheet name="(d) Transliteration Mismatch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8" i="1" l="1"/>
  <c r="E12" i="1"/>
  <c r="E10" i="1"/>
  <c r="E2" i="1"/>
  <c r="C21" i="1"/>
  <c r="C20" i="1"/>
  <c r="D20" i="1" s="1"/>
  <c r="C19" i="1"/>
  <c r="D19" i="1" s="1"/>
  <c r="C18" i="1"/>
  <c r="D18" i="1" s="1"/>
  <c r="C17" i="1"/>
  <c r="D17" i="1" s="1"/>
  <c r="C16" i="1"/>
  <c r="D16" i="1" s="1"/>
  <c r="C15" i="1"/>
  <c r="D15" i="1" s="1"/>
  <c r="C14" i="1"/>
  <c r="D14" i="1" s="1"/>
  <c r="C13" i="1"/>
  <c r="D13" i="1" s="1"/>
  <c r="C12" i="1"/>
  <c r="D12" i="1" s="1"/>
  <c r="C11" i="1"/>
  <c r="D11" i="1" s="1"/>
  <c r="C10" i="1"/>
  <c r="D10" i="1" s="1"/>
  <c r="C9" i="1"/>
  <c r="D9" i="1" s="1"/>
  <c r="C8" i="1"/>
  <c r="D8" i="1" s="1"/>
  <c r="C7" i="1"/>
  <c r="D7" i="1" s="1"/>
  <c r="C6" i="1"/>
  <c r="D6" i="1" s="1"/>
  <c r="C5" i="1"/>
  <c r="D5" i="1" s="1"/>
  <c r="C4" i="1"/>
  <c r="D4" i="1" s="1"/>
  <c r="C3" i="1"/>
  <c r="D3" i="1" s="1"/>
  <c r="C2" i="1"/>
  <c r="D2" i="1" s="1"/>
</calcChain>
</file>

<file path=xl/sharedStrings.xml><?xml version="1.0" encoding="utf-8"?>
<sst xmlns="http://schemas.openxmlformats.org/spreadsheetml/2006/main" count="801" uniqueCount="306">
  <si>
    <t>Error class</t>
  </si>
  <si>
    <t>(a) Entity Mistranslation</t>
  </si>
  <si>
    <t>(b) Value Typo / Error</t>
  </si>
  <si>
    <t>(c) Added-Dropped Columns &amp; Constraints</t>
  </si>
  <si>
    <t>(d) Transliteration Mismatch</t>
  </si>
  <si>
    <t>Subcategory</t>
  </si>
  <si>
    <t>Instances</t>
  </si>
  <si>
    <t>Share of class</t>
  </si>
  <si>
    <t>Entity mistranslation</t>
  </si>
  <si>
    <t>Value simplified</t>
  </si>
  <si>
    <t>MT garble</t>
  </si>
  <si>
    <t>Value distorted</t>
  </si>
  <si>
    <t>Entity substitution</t>
  </si>
  <si>
    <t>Value lost in translation</t>
  </si>
  <si>
    <t>Inconsistent translation</t>
  </si>
  <si>
    <t>Entity mistranslation + condition dropped</t>
  </si>
  <si>
    <t>Number mismatch</t>
  </si>
  <si>
    <t>Value typo</t>
  </si>
  <si>
    <t>Condition dropped</t>
  </si>
  <si>
    <t>Number dropped</t>
  </si>
  <si>
    <t>Value dropped</t>
  </si>
  <si>
    <t>Truncated question</t>
  </si>
  <si>
    <t>Value dropped / truncated question</t>
  </si>
  <si>
    <t>Semantics inverted</t>
  </si>
  <si>
    <t>Transliteration mismatch</t>
  </si>
  <si>
    <t>Transliteration typo</t>
  </si>
  <si>
    <t>Transliteration/typo</t>
  </si>
  <si>
    <t>Split</t>
  </si>
  <si>
    <t>Index</t>
  </si>
  <si>
    <t>Database</t>
  </si>
  <si>
    <t>Arabic question</t>
  </si>
  <si>
    <t>Gold SQL</t>
  </si>
  <si>
    <t>dev</t>
  </si>
  <si>
    <t>car_1</t>
  </si>
  <si>
    <t>ما هو تسارع السيارة sportabout؟</t>
  </si>
  <si>
    <t>SELECT T1.Accelerate FROM CARS_DATA AS T1 JOIN CAR_NAMES AS T2 ON T1.Id  =  T2.MakeId WHERE T2.Make  =  'amc hornet sportabout (sw)';</t>
  </si>
  <si>
    <t>battle_death</t>
  </si>
  <si>
    <t>كم سفينة التي حالة التصفر بها هي تم الحجز؟</t>
  </si>
  <si>
    <t>SELECT count(*) FROM ship WHERE disposition_of_ship  =  'Captured'</t>
  </si>
  <si>
    <t>tvshow</t>
  </si>
  <si>
    <t>متى بدأ  بث الحلقة "حب للأبد"؟</t>
  </si>
  <si>
    <t>SELECT Air_Date FROM TV_series WHERE Episode = "A Love of a Lifetime";</t>
  </si>
  <si>
    <t>world_1</t>
  </si>
  <si>
    <t>ما هي اللغة الأكثر انتشارا في أوروبا؟</t>
  </si>
  <si>
    <t>SELECT T2.Language FROM country AS T1 JOIN countrylanguage AS T2 ON T1.Code  =  T2.CountryCode WHERE T1.Name  =  "Aruba" ORDER BY Percentage DESC LIMIT 1</t>
  </si>
  <si>
    <t xml:space="preserve">ما هي اللغة الأكثر تداولا في أوروبا؟  </t>
  </si>
  <si>
    <t>ما هو إجمالي عدد اللغات المستخدمة في قارة أوروبا؟</t>
  </si>
  <si>
    <t>SELECT COUNT(T2.Language) FROM country AS T1 JOIN countrylanguage AS T2 ON T1.Code  =  T2.CountryCode WHERE T1.Name  =  "Aruba"</t>
  </si>
  <si>
    <t xml:space="preserve">كم عدد اللغات المستخدمة في قارة أوروبا؟ </t>
  </si>
  <si>
    <t>flight_2</t>
  </si>
  <si>
    <t>كم  عدد رحلات شركة الخطوط الأمريكية المتحدة المتجهة إلى مطار "ASY"؟</t>
  </si>
  <si>
    <t>SELECT count(*) FROM AIRLINES AS T1 JOIN FLIGHTS AS T2 ON T2.Airline  =  T1.uid WHERE T1.Airline  =  "United Airlines" AND T2.DestAirport  =  "ASY"</t>
  </si>
  <si>
    <t>احسب عدد الرحلات الجوية لشركة الخطوط الأمريكية الواردة عبر مطار ASY.</t>
  </si>
  <si>
    <t>كم عدد الرحلات  الجوية لشركة الخطوط الأمريكية المتحدة المغادرة  من مطار "AHD"؟</t>
  </si>
  <si>
    <t>SELECT count(*) FROM AIRLINES AS T1 JOIN FLIGHTS AS T2 ON T2.Airline  =  T1.uid WHERE T1.Airline  =  "United Airlines" AND T2.SourceAirport  =  "AHD"</t>
  </si>
  <si>
    <t>عدد الرحلات الجوية لشركة الخطوط الأمريكية المغادرة من  مطار "AHD"؟.</t>
  </si>
  <si>
    <t>كم عدد طائرات  الخطوط  الجوية المتحدة  المتجهة إلى مدينة "أبردين"؟</t>
  </si>
  <si>
    <t>SELECT count(*) FROM FLIGHTS AS T1 JOIN AIRPORTS AS T2 ON T1.DestAirport  =  T2.AirportCode JOIN AIRLINES AS T3 ON T3.uid  =  T1.Airline WHERE T2.City  =  "Aberdeen" AND T3.Airline  =  "United Airlines"</t>
  </si>
  <si>
    <t>احسب  عدد ال طائرات الجوية للشركة المتحدة التي تصل إلى أبردين.</t>
  </si>
  <si>
    <t>train</t>
  </si>
  <si>
    <t>store_1</t>
  </si>
  <si>
    <t>ما هي أسماء جميع المسارات الصخرية التي مخزنة في ملفات صوت MPEG؟</t>
  </si>
  <si>
    <t>SELECT T2.name FROM genres AS T1 JOIN tracks AS T2 ON T1.id = T2.genre_id JOIN media_types AS T3 ON T3.id = T2.media_type_id WHERE T1.name = "Rock" AND T3.name = "MPEG audio file";</t>
  </si>
  <si>
    <t>medicine_enzyme_interaction</t>
  </si>
  <si>
    <t>أظهر اسماء الأدوية والاسماء التجارية التي لا يمكن أن تتفاعل مع الانزيم في المنتج "هيم".</t>
  </si>
  <si>
    <t>SELECT name ,  trade_name FROM medicine EXCEPT SELECT T1.name ,  T1.trade_name FROM medicine AS T1 JOIN medicine_enzyme_interaction AS T2 ON T2.medicine_id  =  T1.id JOIN enzyme AS T3 ON T3.id  =  T2.enzyme_id WHERE T3.product  =  'Protoporphyrinogen IX'</t>
  </si>
  <si>
    <t>ما هي الأدوية والأسماء التجارية التي لا يمكن أن تتفاعل مع الإنزيم في المنتج "هيم"؟</t>
  </si>
  <si>
    <t>college_2</t>
  </si>
  <si>
    <t>ابحث عن اسماء المدرسين الذين درسوا دورة برمجة الج السابقة.</t>
  </si>
  <si>
    <t>SELECT T1.name FROM instructor AS T1 JOIN teaches AS T2 ON T1.id  =  T2.id JOIN course AS T3 ON T2.course_id  =  T3.course_id WHERE T3.title  =  'C Programming'</t>
  </si>
  <si>
    <t>ما هي أسماء المدربين الذين علموا دورات برمجة الحاسوب C؟</t>
  </si>
  <si>
    <t>browser_web</t>
  </si>
  <si>
    <t>ما هي اسماء ونظم التشغيل لمسرعي الويب الذي لا يعمل مع اتصال نوع "الباقة الضيقة"؟</t>
  </si>
  <si>
    <t>SELECT name ,  operating_system FROM web_client_accelerator WHERE CONNECTION != 'Broadband'</t>
  </si>
  <si>
    <t>csu_1</t>
  </si>
  <si>
    <t>ما هي الرسوم الجامعية لجامعة سان خوزي في عام 1996؟</t>
  </si>
  <si>
    <t>SELECT campusfee FROM campuses AS T1 JOIN csu_fees AS T2 ON T1.id  =  t2.campus WHERE t1.campus  =  "San Jose State University" AND T2.year  =  1996</t>
  </si>
  <si>
    <t>أظهر قيمة رسوم الجامعة التي اسمها سان خوزي في عام 1996؟</t>
  </si>
  <si>
    <t>ما هي الرسوم الجامعية لجامعة سان فرانسيسكو الحالية في عام 1996؟</t>
  </si>
  <si>
    <t>SELECT campusfee FROM campuses AS T1 JOIN csu_fees AS T2 ON T1.id  =  t2.campus WHERE t1.campus  =  "San Francisco State University" AND T2.year  =  1996</t>
  </si>
  <si>
    <t>ما هي الرسوم الجامعية لجامعة سان فرانسيسكو الأولى في 1996؟</t>
  </si>
  <si>
    <t>كم عدد الشهادات التي تم منحها في جامعة سان خوزي في عام 2000؟</t>
  </si>
  <si>
    <t>SELECT degrees FROM campuses AS T1 JOIN degrees AS T2 ON t1.id  =  t2.campus WHERE t1.campus  =  "San Jose State University" AND t2.year  =  2000</t>
  </si>
  <si>
    <t>أظهر عدد الشهادات التي تم منحها في جامعة سان خوزيه في عام 2000؟</t>
  </si>
  <si>
    <t>كم عدد الطلاب في جامعة سان خوز في عام 2004؟</t>
  </si>
  <si>
    <t>SELECT sum(t1.undergraduate) FROM discipline_enrollments AS t1 JOIN campuses AS t2 ON t1.campus  =  t2.id WHERE t1.year  =  2004 AND t2.campus  =  "San Jose State University"</t>
  </si>
  <si>
    <t>كم عدد الطلاب في جامعة سان خوزيه الإقليمية؟</t>
  </si>
  <si>
    <t>ما هو عدد الخريجين من جامعة سان فرانسيسكو في عام 2004؟</t>
  </si>
  <si>
    <t>SELECT sum(t1.graduate) FROM discipline_enrollments AS t1 JOIN campuses AS t2 ON t1.campus  =  t2.id WHERE t1.year  =  2004 AND t2.campus  =  "San Francisco State University"</t>
  </si>
  <si>
    <t>كم خريجي جامعة سان فرانسيسكو في عام 2004؟</t>
  </si>
  <si>
    <t>ما هي رسوم الحرم الجامعي لجامعة سان فرانسيسكو في عام 2000؟</t>
  </si>
  <si>
    <t>SELECT t1.campusfee FROM csu_fees AS t1 JOIN campuses AS t2 ON t1.campus  =  t2.id WHERE t2.campus  =  "San Francisco State University" AND t1.year  =  2000</t>
  </si>
  <si>
    <t>اوجد رسوم الحرم الجامعي لجامعة سان فرانسيسكو في عام 2000؟</t>
  </si>
  <si>
    <t>جد رسوم الحرم الجامعي لجامعة سان خوزي في عام 2000.</t>
  </si>
  <si>
    <t>SELECT t1.campusfee FROM csu_fees AS t1 JOIN campuses AS t2 ON t1.campus  =  t2.id WHERE t2.campus  =  "San Jose State University" AND t1.year  =  2000</t>
  </si>
  <si>
    <t>ما هي رسوم الحرم الجامعي في عام 2000 لجامعة سان خوزيه الإقليمية؟</t>
  </si>
  <si>
    <t>music_1</t>
  </si>
  <si>
    <t>ما هي أسماء جميع الأغاني التي لها تقييم أقل من بعض الأغاني الأصلية؟</t>
  </si>
  <si>
    <t>SELECT song_name FROM song WHERE rating  &lt;  (SELECT max(rating) FROM song WHERE genre_is  =  "blues")</t>
  </si>
  <si>
    <t>ما هي أسماء الأغاني التي لها تقييم أقل من أحد الأغاني الأصلية؟</t>
  </si>
  <si>
    <t>hospital_1</t>
  </si>
  <si>
    <t>ابحث عن اسماء الأطباء الذين يحملون لقب "مساعد".</t>
  </si>
  <si>
    <t>SELECT name FROM physician WHERE POSITION LIKE '%senior%'</t>
  </si>
  <si>
    <t>ما هي أسماء الأطباء الذين يحملون لقب مساعد؟</t>
  </si>
  <si>
    <t>soccer_2</t>
  </si>
  <si>
    <t>ما هو عدد الطلاب الذين يلعبون في الدفاع؟</t>
  </si>
  <si>
    <t>SELECT count(*) FROM tryout WHERE pPos  =  'goalie'</t>
  </si>
  <si>
    <t>ما هو عدد الطلاب اللاعبين كمدافع؟</t>
  </si>
  <si>
    <t>جدول الجامعات التي حجمها أكبر من 10000 وتقع في ولاية لوس انجلوس.</t>
  </si>
  <si>
    <t>SELECT cName ,  enr FROM College WHERE enr  &gt;  10000 AND state = "LA"</t>
  </si>
  <si>
    <t>أوجد أسماء الكليات في لوس انجلوس التي تحتوي على أكثر من 15000 طالب، أو في ولاية أريزونا التي تحتوي على أقل من 13000 طالب.</t>
  </si>
  <si>
    <t>SELECT cName FROM College WHERE enr  &lt;  13000 AND state = "AZ" UNION SELECT cName FROM College WHERE enr  &gt;  15000 AND state = "LA"</t>
  </si>
  <si>
    <t>ما هي أسماء الكليات في لوس انجلوس التي تحتوي على أكثر من 15،000 طالب مسجل والكليات في أريزونا التي تحتوي على أقل من 13،000 طالب؟</t>
  </si>
  <si>
    <t xml:space="preserve">ما هو عدد الولايات التي لديها طلاب في مركز الوسط لكرة القدم وليس كحراس مرمى؟ </t>
  </si>
  <si>
    <t>SELECT COUNT(*) FROM (SELECT T1.state FROM college AS T1 JOIN tryout AS T2 ON T1.cName  =  T2.cName WHERE T2.pPos  =  'mid' EXCEPT SELECT T1.state FROM college AS T1 JOIN tryout AS T2 ON T1.cName  =  T2.cName WHERE T2.pPos  =  'goalie')</t>
  </si>
  <si>
    <t>products_gen_characteristics</t>
  </si>
  <si>
    <t>ما هي الفئة التي ينتمي إليها المنتج  "الشمندر"؟</t>
  </si>
  <si>
    <t>SELECT product_category_code FROM products WHERE product_name  =  "flax"</t>
  </si>
  <si>
    <t>ما هو رمز الفئة التي ينتمي إليها المنتج  "الشعير"؟</t>
  </si>
  <si>
    <t>ما هو رمز ووصف المنتج المسمى البقدونس</t>
  </si>
  <si>
    <t>SELECT t1.color_code ,  t2.color_description FROM products AS t1 JOIN ref_colors AS t2 ON t1.color_code  =  t2.color_code WHERE t1.product_name  =  "chervil"</t>
  </si>
  <si>
    <t xml:space="preserve">قم بإعادة الكود الخاص بلون ووصف المنتج المسمى البقدونس. </t>
  </si>
  <si>
    <t>كم عدد  الخصائص  للمنتج "الكمون" بدون تكرار؟</t>
  </si>
  <si>
    <t>SELECT count(DISTINCT t3.characteristic_name) FROM products AS t1 JOIN product_characteristics AS t2 ON t1.product_id  =  t2.product_id JOIN CHARACTERISTICS AS t3 ON t2.characteristic_id  =  t3.characteristic_id WHERE t1.product_name  =  "sesame"</t>
  </si>
  <si>
    <t>كم عدد الخصائص التي في المنتج "الخيار".</t>
  </si>
  <si>
    <t>SELECT count(*) FROM products AS t1 JOIN product_characteristics AS t2 ON t1.product_id  =  t2.product_id JOIN CHARACTERISTICS AS t3 ON t2.characteristic_id  =  t3.characteristic_id WHERE t1.product_name  =  "flax"</t>
  </si>
  <si>
    <t>عد عدد الخصائص لمنتج الخيار.</t>
  </si>
  <si>
    <t>ما هي وحدة القياس ورمز الفئة لمنتج البقدونس ؟</t>
  </si>
  <si>
    <t>SELECT t2.unit_of_measure ,  t2.product_category_code FROM products AS t1 JOIN ref_product_categories AS t2 ON t1.product_category_code  =  t2.product_category_code WHERE t1.product_name  =  "chervil"</t>
  </si>
  <si>
    <t>اعثر على أسماء المنتجات ذات  اللون الأبيض ولكن لا يوجد لها وحدة قياس " يدوية".</t>
  </si>
  <si>
    <t>SELECT t1.product_name FROM products AS t1 JOIN ref_product_categories AS t2 ON t1.product_category_code  =  t2.product_category_code JOIN ref_colors AS t3 ON t1.color_code  =  t3.color_code WHERE t3.color_description  =  "white" AND t2.unit_of_measure != "Handful"</t>
  </si>
  <si>
    <t xml:space="preserve">ما هي أسماء المنتجات غير البيضاء ولا يمكن قياسها يدويا؟ </t>
  </si>
  <si>
    <t>cre_Theme_park</t>
  </si>
  <si>
    <t>ما هي أسماء الأماكن السياحية التي تحتوي على ميزة التسوق أو المواقف السيارات ؟</t>
  </si>
  <si>
    <t>SELECT T1.Name FROM Tourist_Attractions AS T1 JOIN Tourist_Attraction_Features AS T2 ON T1.tourist_attraction_id  =  T2.tourist_attraction_id JOIN Features AS T3 ON T2.Feature_ID  =  T3.Feature_ID WHERE T3.feature_Details  =  'park' UNION SELECT T1.Name FROM Tourist_Attractions AS T1 JOIN Tourist_Attraction_Features AS T2 ON T1.tourist_attraction_id  =  T2.tourist_attraction_id JOIN Features AS T3 ON T2.Feature_ID  =  T3.Feature_ID WHERE T3.feature_Details  =  'shopping'</t>
  </si>
  <si>
    <t>أوجد الأماكن السياحية التي تحتوي على تفاصيل مثل المواقف السياحية أو التسوق. ما هي أسماء الأماكن السياحية؟</t>
  </si>
  <si>
    <t>scholar</t>
  </si>
  <si>
    <t>أبحاث الرباط الصليبي الأمامي في عام 2012 في التحليل</t>
  </si>
  <si>
    <t>SELECT DISTINCT t3.paperid FROM paperkeyphrase AS t2 JOIN keyphrase AS t1 ON t2.keyphraseid  =  t1.keyphraseid JOIN paper AS t3 ON t3.paperid  =  t2.paperid JOIN venue AS t4 ON t4.venueid  =  t3.venueid WHERE t1.keyphrasename  =  "Parsing" AND t3.year  =  2012 AND t4.venuename  =  "acl";</t>
  </si>
  <si>
    <t>ما الأوراق البحثية التي نشرت عن الرباط الصليبي الأمامي في عام 2012 حول التحليل؟</t>
  </si>
  <si>
    <t>ظهرت الابحاث حول تحليل الرباط الصليبي الأمامي العام الماضي</t>
  </si>
  <si>
    <t>تحليل أبحاث الرباط الصليبي الأمامي 2012</t>
  </si>
  <si>
    <t>أوراق تحليل الرباط الصليبي الأمامي 2012</t>
  </si>
  <si>
    <t>أوراق الرباط الصليبي الأمامي في عام 2012 في التحليل</t>
  </si>
  <si>
    <t>أبحاث الرباط الصليبي الأمامي في عام 2012 حول التحليل</t>
  </si>
  <si>
    <t>ما الأبحاث التي نشرت عن الرباط الصليبي الأمامي في عام 2012 حول التحليل؟</t>
  </si>
  <si>
    <t>ظهرت ابحاث عن التحليل في الرباط الصليبي الأمامي في عام 2012</t>
  </si>
  <si>
    <t>كم عدد الأبحاث عن الرباط الصليبي الأمامي في عام 2012؟</t>
  </si>
  <si>
    <t>من نشر أوراق التحليل في الرباط الصليبي الامامي 2012</t>
  </si>
  <si>
    <t>ما هي الابحاث في الرباط الصليبي الأمامي 2012 التي تم تحليلها فيها؟</t>
  </si>
  <si>
    <t>ما هي الابحاث المستندة إلى التحليل في الرباط الصليبي الأمامي 2012؟</t>
  </si>
  <si>
    <t>كم عدد الابحاث التحليلية في  الرباط الصليبي الامامي 2014</t>
  </si>
  <si>
    <t>SELECT DISTINCT COUNT ( t3.paperid ) FROM paperkeyphrase AS t2 JOIN keyphrase AS t1 ON t2.keyphraseid  =  t1.keyphraseid JOIN paper AS t3 ON t3.paperid  =  t2.paperid JOIN venue AS t4 ON t4.venueid  =  t3.venueid WHERE t1.keyphrasename  =  "parsing" AND t3.year  =  2014 AND t4.venuename  =  "ACL";</t>
  </si>
  <si>
    <t>كم عدد الابحاث التحليلية التي ظهرت عند اجراء الرباط الصليبي الامامي 2014؟</t>
  </si>
  <si>
    <t>كم عدد الابحاث التحليلية التي تم نشرها في الرباط الصليبي الامامي 2014؟</t>
  </si>
  <si>
    <t xml:space="preserve">مجموعات البيانات المذكورة في  الرباط الصليبي الامامي </t>
  </si>
  <si>
    <t>SELECT DISTINCT t1.datasetid FROM paperdataset AS t2 JOIN dataset AS t1 ON t2.datasetid  =  t1.datasetid JOIN paper AS t3 ON t3.paperid  =  t2.paperid JOIN venue AS t4 ON t4.venueid  =  t3.venueid WHERE t4.venuename  =  "ACL";</t>
  </si>
  <si>
    <t>ما هي مجموعات البيانات التي تستخدمها اكثر الأبحاث في الرباط الصليبي الامامي ؟</t>
  </si>
  <si>
    <t>الأبحاث عن التحليل الدلالي من قبل لي دونغ في الرباط الصليبي الامامي  في عام 2016</t>
  </si>
  <si>
    <t>SELECT DISTINCT t2.paperid FROM paperkeyphrase AS t5 JOIN keyphrase AS t3 ON t5.keyphraseid  =  t3.keyphraseid JOIN paper AS t2 ON t2.paperid  =  t5.paperid JOIN venue AS t6 ON t6.venueid  =  t2.venueid JOIN writes AS t4 ON t4.paperid  =  t2.paperid JOIN author AS t1 ON t4.authorid  =  t1.authorid WHERE t1.authorname  =  "li dong" AND t3.keyphrasename  =  "semantic parsing" AND t2.year  =  2016 AND t6.venuename  =  "acl";</t>
  </si>
  <si>
    <t>الابحاث اليومية على سبيل المثال التجزئة</t>
  </si>
  <si>
    <t>SELECT DISTINCT t3.paperid FROM paperkeyphrase AS t2 JOIN keyphrase AS t1 ON t2.keyphraseid  =  t1.keyphraseid JOIN paper AS t3 ON t3.paperid  =  t2.paperid WHERE t1.keyphrasename  =  "instance segmentation" AND t3.journalid  &gt;=  0;</t>
  </si>
  <si>
    <t>ابحاث التعرف على الشخصية في وقت مبكر من عام 2010</t>
  </si>
  <si>
    <t>SELECT DISTINCT t3.paperid FROM paperkeyphrase AS t2 JOIN keyphrase AS t1 ON t2.keyphraseid  =  t1.keyphraseid JOIN paper AS t3 ON t3.paperid  =  t2.paperid WHERE t1.keyphrasename  =  "character recognition" AND t3.year  &lt;  2010;</t>
  </si>
  <si>
    <t>الأبحاث قبل عام 2010 حول التعرف على الشخصية</t>
  </si>
  <si>
    <t>ابحاث التعرف على الشخصية من قبل عام 2010</t>
  </si>
  <si>
    <t>ابحاث حول التعرف على الشخصية من قبل عام 2010</t>
  </si>
  <si>
    <t>ابحاث التعرف على الشخصية قبل عام 2010</t>
  </si>
  <si>
    <t>احسب عدد ابحاث الرباط الصليبي الامامي من قبل المؤلف</t>
  </si>
  <si>
    <t>SELECT DISTINCT COUNT ( t2.paperid )  ,  t1.authorid FROM venue AS t3 JOIN paper AS t2 ON t3.venueid  =  t2.venueid JOIN writes AS t1 ON t1.paperid  =  t2.paperid WHERE t3.venuename  =  "ACL" GROUP BY t1.authorid;</t>
  </si>
  <si>
    <t>كم عدد ابحاث الرباط الصليبي الامامي للمؤلف</t>
  </si>
  <si>
    <t>عدد ابحاث الرباط الصليبي الامامي من قبل المؤلف</t>
  </si>
  <si>
    <t>ما هي الأبحاث التي لديها أقل من 5 استشهادات من ابحاث الرباط التصلبي الأمامي</t>
  </si>
  <si>
    <t>SELECT DISTINCT t3.citingpaperid FROM paper AS t1 JOIN cite AS t3 ON t1.paperid  =  t3.citedpaperid JOIN venue AS t2 ON t2.venueid  =  t1.venueid WHERE t2.venuename  =  "ACL" GROUP BY t3.citingpaperid HAVING COUNT ( DISTINCT t3.citedpaperid )  &lt;  5;</t>
  </si>
  <si>
    <t xml:space="preserve">ابحاث الرباط التصلبي الأمامي مع أقل من 5 استشهادات </t>
  </si>
  <si>
    <t>ما هي ابحاث الرباط التصلبي الأمامي التي لديها أقل من 5 استشهادات ؟</t>
  </si>
  <si>
    <t>ابحاث الرباط التصلبي الأمامي في عام 2016 مع الاهتمام العصبي في العنوان</t>
  </si>
  <si>
    <t>SELECT DISTINCT t1.paperid FROM venue AS t2 JOIN paper AS t1 ON t2.venueid  =  t1.venueid WHERE t1.title LIKE "neural attention" AND t1.year  =  2016 AND t2.venuename  =  "ACL";</t>
  </si>
  <si>
    <t>أي ابحاث ACL 2014 حول التحليل المستخدمة للخطر!أسئلة ؟</t>
  </si>
  <si>
    <t>SELECT DISTINCT t2.paperid FROM paperdataset AS t3 JOIN dataset AS t5 ON t3.datasetid  =  t5.datasetid JOIN paperkeyphrase AS t4 ON t4.paperid  =  t3.paperid JOIN paper AS t2 ON t2.paperid  =  t3.paperid JOIN venue AS t6 ON t6.venueid  =  t2.venueid JOIN keyphrase AS t1 ON t4.keyphraseid  =  t1.keyphraseid WHERE t5.datasetname  =  "Jeopardy! Questions" AND t1.keyphrasename  =  "Parsing" AND t2.year  =  2014 AND t6.venuename  =  "ACL";</t>
  </si>
  <si>
    <t>ابحاث تحليل باستخدام Jeopardy!الأسئلة المنشورة في ACL 2014</t>
  </si>
  <si>
    <t>تحليل ابحاث من ACL 2014 باستخدام Jeopardy!أسئلة</t>
  </si>
  <si>
    <t>تحليل ابحاث من ACL 2014 التي استخدمت للخطر!أسئلة</t>
  </si>
  <si>
    <t>ابحاث حول التحليل الذي استخدم للخطر!أسئلة ونشرت في ACL 2014</t>
  </si>
  <si>
    <t>ابحاث الرباط التصلبي الأمامي من قبل المؤلف</t>
  </si>
  <si>
    <t>SELECT DISTINCT t2.paperid  ,  t1.authorid FROM venue AS t3 JOIN paper AS t2 ON t3.venueid  =  t2.venueid JOIN writes AS t1 ON t1.paperid  =  t2.paperid WHERE t3.venuename  =  "ACL";</t>
  </si>
  <si>
    <t xml:space="preserve">عدد ابحاث الرباط التصلبي الأمامي مع أكثر من 2 استشهاد </t>
  </si>
  <si>
    <t>SELECT DISTINCT COUNT ( t3.citingpaperid ) FROM paper AS t1 JOIN cite AS t3 ON t1.paperid  =  t3.citedpaperid JOIN venue AS t2 ON t2.venueid  =  t1.venueid WHERE t2.venuename  =  "ACL" GROUP BY t3.citingpaperid HAVING COUNT ( DISTINCT t3.citedpaperid )  &gt;  2;</t>
  </si>
  <si>
    <t>match_season</t>
  </si>
  <si>
    <t>أظهر اللاعبين من جامعة كاليفورنيا.</t>
  </si>
  <si>
    <t>SELECT Player FROM match_season WHERE College  =  "UCLA"</t>
  </si>
  <si>
    <t>من هم اللاعبين من جامعة كاليفورنيا؟</t>
  </si>
  <si>
    <t>أظهر رتبة اللاعبين من جامعة كاليفورنيا أو ديوك (بدون تكرار).</t>
  </si>
  <si>
    <t>SELECT DISTINCT POSITION FROM match_season WHERE College  =  "UCLA" OR College  =  "Duke"</t>
  </si>
  <si>
    <t>ما هي الرتب المختلفة للاعبين من كليات كاليفورنيا أو ديوك؟</t>
  </si>
  <si>
    <t>ما هي الكلية التي لها لاعبين من مركز المدافع والمهاجم؟</t>
  </si>
  <si>
    <t>SELECT College FROM match_season WHERE POSITION  =  "Midfielder" INTERSECT SELECT College FROM match_season WHERE POSITION  =  "Defender"</t>
  </si>
  <si>
    <t>أرجع الكليات التي لديها لاعبين يلعبون مركز المحارب، فضلا عن اللاعبين الذين يلعبون مركز الدفاع.</t>
  </si>
  <si>
    <t>insurance_and_eClaims</t>
  </si>
  <si>
    <t>جد أسماء العملاء الذين لديهم سياسة نائبة أو سياسة مشتركة.</t>
  </si>
  <si>
    <t>SELECT DISTINCT t2.customer_details FROM policies AS t1 JOIN customers AS t2 ON t1.customer_id  =  t2.customer_id WHERE t1.policy_type_code  =  "Deputy" OR t1.policy_type_code  =  "Uniform"</t>
  </si>
  <si>
    <t>cinema</t>
  </si>
  <si>
    <t>كم فيلم يحتوي كلمة "الصنم" في عنوانه؟</t>
  </si>
  <si>
    <t>SELECT count(*) FROM film WHERE title LIKE "%Dummy%"</t>
  </si>
  <si>
    <t xml:space="preserve">أعد كتابة أسم المطار الذي رمز المطار هو "ACO"  </t>
  </si>
  <si>
    <t>SELECT AirportName FROM AIRPORTS WHERE AirportCode  =  "AKO"</t>
  </si>
  <si>
    <t>formula_1</t>
  </si>
  <si>
    <t>ما هي أقصى سرعة جولة في السباقات التي تم عقدها بعد عام 2004 مجمعة حسب اسم السباق ومرتبة حسب السنة؟</t>
  </si>
  <si>
    <t>SELECT max(T2.fastestlapspeed) ,  T1.name ,  T1.year FROM races AS T1 JOIN results AS T2 ON T1.raceid = T2.raceid WHERE T1.year &gt; 2014 GROUP BY T1.name ORDER BY T1.year</t>
  </si>
  <si>
    <t>لكل اسم السباق، ما هو أقصى سرعة جولة للسباقات بعد عام 2004 مرتبة حسب السنة؟</t>
  </si>
  <si>
    <t>ما هي معدلات أسرع جولة في السباقات التي تم عقدها بعد عام 2004 مجمعة حسب اسم السباق ومرتبة حسب السنة؟</t>
  </si>
  <si>
    <t>SELECT avg(T2.fastestlapspeed) ,  T1.name ,  T1.year FROM races AS T1 JOIN results AS T2 ON T1.raceid = T2.raceid WHERE T1.year &gt; 2014 GROUP BY T1.name ORDER BY T1.year</t>
  </si>
  <si>
    <t>ما هو متوسط سرعة الجولة الأسرع للسباقات التي تم عقدها بعد عام 2004، لكل سباق، مرتبة حسب السنة؟</t>
  </si>
  <si>
    <t>movie_1</t>
  </si>
  <si>
    <t>ما هي أسماء المراجعين الذين تقيموا بنجمتين وأربعة نجوم؟</t>
  </si>
  <si>
    <t>SELECT T2.name FROM Rating AS T1 JOIN Reviewer AS T2 ON T1.rID  =  T2.rID WHERE T1.stars  =  3 INTERSECT SELECT T2.name FROM Rating AS T1 JOIN Reviewer AS T2 ON T1.rID  =  T2.rID WHERE T1.stars  =  4</t>
  </si>
  <si>
    <t>products_for_hire</t>
  </si>
  <si>
    <t>ما هو معرف المنتج الذي تم حجزه مرتين؟</t>
  </si>
  <si>
    <t>SELECT product_id FROM products_booked GROUP BY product_id HAVING count(*)  =  3</t>
  </si>
  <si>
    <t>student_1</t>
  </si>
  <si>
    <t>ما هي الفصول التي يستخدمها الصف الخامس؟</t>
  </si>
  <si>
    <t>SELECT DISTINCT classroom FROM list WHERE grade  =  4</t>
  </si>
  <si>
    <t>city_record</t>
  </si>
  <si>
    <t>من فضلك أعطني قائمة بالمدن التي يزيد عدد سكانها الإقليمي عن 8000000 أو أقل من 5000000.</t>
  </si>
  <si>
    <t>SELECT city FROM city WHERE regional_population  &gt;  10000000 UNION SELECT city FROM city WHERE regional_population  &lt;  5000000</t>
  </si>
  <si>
    <t>ما هي المدن التي يزيد عدد سكانها عن 8000000 أو أقل من 5000000؟</t>
  </si>
  <si>
    <t>driving_school</t>
  </si>
  <si>
    <t>كم عدد الدروس التي أكملها العميل Ryan Goodwin؟</t>
  </si>
  <si>
    <t>SELECT count(*) FROM Lessons AS T1 JOIN Customers AS T2 ON T1.customer_id  = T2.customer_id WHERE T2.first_name = "Rylan" AND T2.last_name = "Goodwin" AND T1.lesson_status_code = "Completed";</t>
  </si>
  <si>
    <t>scientist_1</t>
  </si>
  <si>
    <t>أسماء أي من العلماء الذين عملوا على مشاريع تسمى "Matter of Time" و"A Puzzling Pattern"؟</t>
  </si>
  <si>
    <t>SELECT T3.name FROM assignedto AS T1 JOIN projects AS T2 ON T1.project  =  T2.code JOIN scientists AS T3 ON T1.scientist  =  T3.SSN WHERE T2.name  =  'Matter of Time' INTERSECT SELECT T3.name FROM assignedto AS T1 JOIN projects AS T2 ON T1.project  =  T2.code JOIN scientists AS T3 ON T1.scientist  =  T3.SSN WHERE T2.name  =  'A Puzzling Parallax'</t>
  </si>
  <si>
    <t>bike_1</t>
  </si>
  <si>
    <t>ﻣﺎ ﻫﻲ اﻟﺘﻮاﺭﻳﺦ اﻟﺘﻲ ﺗﺤﺘﻮﻱ ﻋﻠﻰ ﺃﻋﻠﻰ ﻣﻌﺪﻻﺕ اﻟﻐﻄﺎء اﻟﺴﺤﺎﺑﻲ ﻭﻣﺎ ﻫﻲ اﻟﻤﻌﺪﻻﺕ؟</t>
  </si>
  <si>
    <t>SELECT date ,  cloud_cover FROM weather ORDER BY cloud_cover DESC LIMIT 5</t>
  </si>
  <si>
    <t>ﻣﺎ ﻫﻲ اﻟﻤﻌﺮﻓﺎﺕ ﻟﻠﺮﺣﻼﺕ اﻟﺘﻲ ﺃﺧﺬﺕ ﺃﻃﻮﻝ ﻭﻗﺖ ﻭﻛﻢ ﻣﺪﺓ ﺃﺧﺬﺕ؟</t>
  </si>
  <si>
    <t>SELECT id ,  duration FROM trip ORDER BY duration DESC LIMIT 3</t>
  </si>
  <si>
    <t>ﻣﺎ ﻫﻲ ﺃﺳﻤﺎء اﻟﻤﺤﻄﺎﺕ اﻟﺘﻲ ﺗﻘﻊ ﻓﻲ ﺑﺎﻟﻮ ﺃﻟﺘﻮ ﻭﻟﻢ ﺗﻜﻦ ﻧﻘﻄﺔ اﻟﻮﺻﻮﻝ اﻟﻨﻬﺎﺋﻴﺔ ﻟﻠﺮﺣﻼﺕ؟</t>
  </si>
  <si>
    <t>SELECT name FROM station WHERE city  =  "Palo Alto" EXCEPT SELECT end_station_name FROM trip GROUP BY end_station_name HAVING count(*)  &gt;  100</t>
  </si>
  <si>
    <t>flight_1</t>
  </si>
  <si>
    <t>ﻣﺎ ﻫﻲ ﺃﺭﻗﺎﻡ اﻟﺮﺣﻼﺕ اﻷﻗﺼﺮ؟</t>
  </si>
  <si>
    <t>SELECT flno FROM Flight ORDER BY distance ASC LIMIT 3</t>
  </si>
  <si>
    <t>ما هي أسماء البلدان ومتوسط حجم الفاتورة لأكبر البلدان حسب الحجم؟</t>
  </si>
  <si>
    <t>SELECT billing_country ,  AVG(total) FROM invoices GROUP BY billing_country ORDER BY AVG(total) DESC LIMIT 10;</t>
  </si>
  <si>
    <t>inn_1</t>
  </si>
  <si>
    <t>ما هو إجمالي عدد الأسرة المتوفرة؟</t>
  </si>
  <si>
    <t>SELECT sum(beds) FROM Rooms WHERE bedtype  =  'King';</t>
  </si>
  <si>
    <t>اعرض اسماء الغرف التي تحتوي على سرير ملك أو ملكة.</t>
  </si>
  <si>
    <t>SELECT roomName FROM Rooms WHERE bedType  =  "King" OR bedType  =  "Queen";</t>
  </si>
  <si>
    <t>اسماء الغرف التي تحتوي على سرير ملك أو ملكة؟</t>
  </si>
  <si>
    <t>election</t>
  </si>
  <si>
    <t>ما هي اسماء الأحزاب التي لديها مندوبين في لجنة "المخصصات" و</t>
  </si>
  <si>
    <t>SELECT T2.Party FROM election AS T1 JOIN party AS T2 ON T1.Party  =  T2.Party_ID WHERE T1.Committee  =  "Appropriations" INTERSECT SELECT T2.Party FROM election AS T1 JOIN party AS T2 ON T1.Party  =  T2.Party_ID WHERE T1.Committee  =  "Economic Matters"</t>
  </si>
  <si>
    <t>ما هي الأحزاب التي لديها مندوبين في كلا اللجنتين "المخصصات" و "الاقتصاد"؟</t>
  </si>
  <si>
    <t>ما هي أسماء الأغاني التي تملك تقييم أقل من تقييم كل الأغاني</t>
  </si>
  <si>
    <t>SELECT song_name FROM song WHERE rating  &lt;   (SELECT min(rating) FROM song WHERE languages  =  'english')</t>
  </si>
  <si>
    <t>tracking_grants_for_research</t>
  </si>
  <si>
    <t>اذكر تاريخ بدأ و انتهاء عمل الموظفين: موظفو المشروع الذي يوظف اكبر عدد من الطاقم.</t>
  </si>
  <si>
    <t>SELECT date_from ,  date_to FROM Project_Staff WHERE project_id IN( SELECT project_id FROM Project_Staff GROUP BY project_id ORDER BY count(*) DESC LIMIT 1 ) UNION SELECT date_from ,  date_to FROM Project_Staff WHERE role_code  =  'leader'</t>
  </si>
  <si>
    <t>جد معرفات وتفاصيل المنظمات المشاركة.</t>
  </si>
  <si>
    <t>SELECT T2.organisation_id ,  T2.organisation_details FROM Grants AS T1 JOIN Organisations AS T2 ON T1.organisation_id  =  T2.organisation_id GROUP BY T2.organisation_id HAVING sum(T1.grant_amount)  &gt;  6000</t>
  </si>
  <si>
    <t>كم عدد موظفي المشروع الذين كانوا يعملون كقادة أو بدأوا العمل قبل 1989-04-24 23:51:54؟</t>
  </si>
  <si>
    <t>SELECT count(*) FROM Project_Staff WHERE role_code  =  'leader' OR date_from  &lt;  '1989-04-24 23:51:54'</t>
  </si>
  <si>
    <t>كم عدد أعضاء المشروع الذين كانوا قادة أو بدأوا العمل قبل 1989-04-24 23:51:54؟</t>
  </si>
  <si>
    <t xml:space="preserve">ما هي أدوار الموظفين </t>
  </si>
  <si>
    <t>SELECT role_code FROM Project_Staff WHERE date_from  &gt;  '2003-04-19 15:06:20' AND date_to  &lt;  '2016-03-15 00:33:18'</t>
  </si>
  <si>
    <t>dorm_1</t>
  </si>
  <si>
    <t>كم عدد المرفقات لكل سكن؟</t>
  </si>
  <si>
    <t>SELECT count(*) ,  T1.dormid FROM dorm AS T1 JOIN has_amenity AS T2 ON T1.dormid  =  T2.dormid WHERE T1.student_capacity  &gt;  100 GROUP BY T1.dormid</t>
  </si>
  <si>
    <t>game_1</t>
  </si>
  <si>
    <t xml:space="preserve"> من هم المشرفون ؟ </t>
  </si>
  <si>
    <t>SELECT advisor FROM Student GROUP BY advisor HAVING count(*)  &gt;=  2</t>
  </si>
  <si>
    <t>roller_coaster</t>
  </si>
  <si>
    <t>ما هي أسماء الدول ، والمناطق ، والسكان الذين يمتلكون الأفعوانيات ذات السرعة العالية</t>
  </si>
  <si>
    <t>SELECT T1.name ,  T1.area ,  T1.population FROM country AS T1 JOIN roller_coaster AS T2 ON T1.Country_ID  =  T2.Country_ID WHERE T2.speed  &gt;  60 INTERSECT SELECT T1.name ,  T1.area ,  T1.population FROM country AS T1 JOIN roller_coaster AS T2 ON T1.Country_ID  =  T2.Country_ID WHERE T2.speed  &lt;  55</t>
  </si>
  <si>
    <t>بحث الأوتوماتيكية لإريك سي. كيريغان</t>
  </si>
  <si>
    <t>SELECT DISTINCT t2.paperid FROM paperkeyphrase AS t5 JOIN keyphrase AS t3 ON t5.keyphraseid  =  t3.keyphraseid JOIN writes AS t4 ON t4.paperid  =  t5.paperid JOIN paper AS t2 ON t4.paperid  =  t2.paperid JOIN author AS t1 ON t4.authorid  =  t1.authorid JOIN venue AS t6 ON t6.venueid  =  t2.venueid WHERE t1.authorname  =  "Eric C. Kerrigan" AND t3.keyphrasename  =  "Liquid" AND t6.venuename  =  "Automatica";</t>
  </si>
  <si>
    <t>ما هو اسم بحث إريك سي.</t>
  </si>
  <si>
    <t>SELECT DISTINCT t2.title FROM paperkeyphrase AS t5 JOIN keyphrase AS t3 ON t5.keyphraseid  =  t3.keyphraseid JOIN writes AS t4 ON t4.paperid  =  t5.paperid JOIN paper AS t2 ON t4.paperid  =  t2.paperid JOIN author AS t1 ON t4.authorid  =  t1.authorid JOIN venue AS t6 ON t6.venueid  =  t2.venueid WHERE t1.authorname LIKE "Eric C. Kerrigan" AND t3.keyphrasename  =  "Liquid" AND t6.venuename  =  "Automatica";</t>
  </si>
  <si>
    <t>mountain_photos</t>
  </si>
  <si>
    <t>ما هو المعرف والاسم للصور الخاصة بالجبال؟</t>
  </si>
  <si>
    <t>SELECT T1.id ,  T1.name FROM mountain AS T1 JOIN photos AS T2 ON T1.id  =  T2.mountain_id WHERE T1.height  &gt;  4000</t>
  </si>
  <si>
    <t xml:space="preserve">ما هي اسماء العائلة للطلاب الذين لا يدرسهم كوفين جيروم؟
</t>
  </si>
  <si>
    <t>SELECT DISTINCT T1.lastname FROM list AS T1 JOIN teachers AS T2 ON T1.classroom  =  T2.classroom WHERE T1.grade  =  3 AND T2.firstname != "COVIN" AND T2.lastname != "JEROME"</t>
  </si>
  <si>
    <t>school_bus</t>
  </si>
  <si>
    <t>اذكر جميع المواطن باستثناء المدن التي يزيد عمر السائق فيها عن 40 عاما.</t>
  </si>
  <si>
    <t>SELECT home_city FROM driver WHERE age  &gt;  40 GROUP BY home_city HAVING count(*)  &gt;=  2</t>
  </si>
  <si>
    <t>college_3</t>
  </si>
  <si>
    <t>اعثر على الاسم الأول و الأخير لمدرس الدورة التي لها اسم.</t>
  </si>
  <si>
    <t>SELECT T2.Fname ,  T2.Lname FROM COURSE AS T1 JOIN FACULTY AS T2 ON T1.Instructor  =  T2.FacID WHERE T1.CName  =  "COMPUTER LITERACY"</t>
  </si>
  <si>
    <t>ما هو الاسم الكامل للمدرس الذي لديه دورة باسم الثقافة الحاسوبية؟</t>
  </si>
  <si>
    <t>network_1</t>
  </si>
  <si>
    <t xml:space="preserve">كم عدد الاعجابات الخاص بكيلي؟ </t>
  </si>
  <si>
    <t>SELECT count(*) FROM Likes AS T1 JOIN Highschooler AS T2 ON T1.student_id  =  T2.id WHERE T2.name  =  "Kyle"</t>
  </si>
  <si>
    <t>في أي بلد يعيش بيرو ألمييدا؟</t>
  </si>
  <si>
    <t>SELECT country FROM customers WHERE first_name = "Roberto" AND last_name = "Almeida";</t>
  </si>
  <si>
    <t xml:space="preserve">ما هو وصف لون المنتج  المسمى النعاع البري؟ </t>
  </si>
  <si>
    <t>SELECT t2.color_description FROM products AS t1 JOIN ref_colors AS t2 ON t1.color_code  =  t2.color_code WHERE t1.product_name  =  "catnip"</t>
  </si>
  <si>
    <t xml:space="preserve">أعطني وصف لون المنتج  الذي يحمل الاسم النعاع البري؟ </t>
  </si>
  <si>
    <t>geo</t>
  </si>
  <si>
    <t xml:space="preserve">السكان في بودلر. </t>
  </si>
  <si>
    <t>SELECT population FROM city WHERE city_name  =  "boulder";</t>
  </si>
  <si>
    <t>جدول الأسماء الأخيرة للموظفين في مبنى بارتو بالترتيب الأبجدي.</t>
  </si>
  <si>
    <t>SELECT Lname FROM FACULTY WHERE Building  =  "Barton" ORDER BY Lname</t>
  </si>
  <si>
    <t>Sample Index</t>
  </si>
  <si>
    <t>Percentage of Share of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</si>
</sst>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theme="1"/>
      <name val="Calibri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336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 readingOrder="2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4" borderId="1" xfId="0" applyFont="1" applyFill="1" applyBorder="1"/>
    <xf numFmtId="0" fontId="2" fillId="4" borderId="1" xfId="0" applyFont="1" applyFill="1" applyBorder="1"/>
    <xf numFmtId="10" fontId="2" fillId="4" borderId="1" xfId="0" applyNumberFormat="1" applyFont="1" applyFill="1" applyBorder="1"/>
    <xf numFmtId="0" fontId="1" fillId="5" borderId="1" xfId="0" applyFont="1" applyFill="1" applyBorder="1"/>
    <xf numFmtId="0" fontId="2" fillId="5" borderId="1" xfId="0" applyFont="1" applyFill="1" applyBorder="1"/>
    <xf numFmtId="10" fontId="2" fillId="5" borderId="1" xfId="0" applyNumberFormat="1" applyFont="1" applyFill="1" applyBorder="1"/>
    <xf numFmtId="0" fontId="1" fillId="6" borderId="1" xfId="0" applyFont="1" applyFill="1" applyBorder="1"/>
    <xf numFmtId="0" fontId="2" fillId="6" borderId="1" xfId="0" applyFont="1" applyFill="1" applyBorder="1"/>
    <xf numFmtId="10" fontId="2" fillId="6" borderId="1" xfId="0" applyNumberFormat="1" applyFont="1" applyFill="1" applyBorder="1"/>
    <xf numFmtId="0" fontId="1" fillId="7" borderId="1" xfId="0" applyFont="1" applyFill="1" applyBorder="1"/>
    <xf numFmtId="0" fontId="2" fillId="7" borderId="1" xfId="0" applyFont="1" applyFill="1" applyBorder="1"/>
    <xf numFmtId="10" fontId="2" fillId="7" borderId="1" xfId="0" applyNumberFormat="1" applyFont="1" applyFill="1" applyBorder="1"/>
    <xf numFmtId="10" fontId="0" fillId="0" borderId="0" xfId="0" applyNumberFormat="1"/>
    <xf numFmtId="10" fontId="0" fillId="7" borderId="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0" fontId="0" fillId="6" borderId="2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10" fontId="0" fillId="5" borderId="2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0" fontId="0" fillId="4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zoomScaleNormal="100" workbookViewId="0">
      <selection activeCell="D21" sqref="D21"/>
    </sheetView>
  </sheetViews>
  <sheetFormatPr defaultColWidth="8.6640625" defaultRowHeight="14.25" x14ac:dyDescent="0.45"/>
  <cols>
    <col min="1" max="1" width="38" customWidth="1"/>
    <col min="2" max="2" width="25.6640625" customWidth="1"/>
    <col min="3" max="3" width="15.9296875" customWidth="1"/>
    <col min="4" max="4" width="30.796875" customWidth="1"/>
    <col min="5" max="5" width="29.53125" customWidth="1"/>
    <col min="6" max="7" width="14" customWidth="1"/>
    <col min="8" max="8" width="16" customWidth="1"/>
  </cols>
  <sheetData>
    <row r="1" spans="1:5" x14ac:dyDescent="0.45">
      <c r="A1" s="4" t="s">
        <v>0</v>
      </c>
      <c r="B1" s="4" t="s">
        <v>5</v>
      </c>
      <c r="C1" s="4" t="s">
        <v>6</v>
      </c>
      <c r="D1" s="4" t="s">
        <v>7</v>
      </c>
      <c r="E1" s="4" t="s">
        <v>305</v>
      </c>
    </row>
    <row r="2" spans="1:5" x14ac:dyDescent="0.45">
      <c r="A2" s="5" t="s">
        <v>1</v>
      </c>
      <c r="B2" s="6" t="s">
        <v>8</v>
      </c>
      <c r="C2" s="6">
        <f>COUNTIF('(a) Entity Mistranslation'!E2:E1000,"Entity mistranslation")</f>
        <v>64</v>
      </c>
      <c r="D2" s="7">
        <f>C2/COUNTA('(a) Entity Mistranslation'!A2:A1000)</f>
        <v>0.61538461538461542</v>
      </c>
      <c r="E2" s="24">
        <f>SUM(D2:D9)</f>
        <v>1.0000000000000002</v>
      </c>
    </row>
    <row r="3" spans="1:5" x14ac:dyDescent="0.45">
      <c r="A3" s="6"/>
      <c r="B3" s="6" t="s">
        <v>9</v>
      </c>
      <c r="C3" s="6">
        <f>COUNTIF('(a) Entity Mistranslation'!E2:E1000,"Value simplified")</f>
        <v>19</v>
      </c>
      <c r="D3" s="7">
        <f>C3/COUNTA('(a) Entity Mistranslation'!A2:A1000)</f>
        <v>0.18269230769230768</v>
      </c>
      <c r="E3" s="25"/>
    </row>
    <row r="4" spans="1:5" x14ac:dyDescent="0.45">
      <c r="A4" s="6"/>
      <c r="B4" s="6" t="s">
        <v>10</v>
      </c>
      <c r="C4" s="6">
        <f>COUNTIF('(a) Entity Mistranslation'!E2:E1000,"MT garble")</f>
        <v>9</v>
      </c>
      <c r="D4" s="7">
        <f>C4/COUNTA('(a) Entity Mistranslation'!A2:A1000)</f>
        <v>8.6538461538461536E-2</v>
      </c>
      <c r="E4" s="25"/>
    </row>
    <row r="5" spans="1:5" x14ac:dyDescent="0.45">
      <c r="A5" s="6"/>
      <c r="B5" s="6" t="s">
        <v>11</v>
      </c>
      <c r="C5" s="6">
        <f>COUNTIF('(a) Entity Mistranslation'!E2:E1000,"Value distorted")</f>
        <v>6</v>
      </c>
      <c r="D5" s="7">
        <f>C5/COUNTA('(a) Entity Mistranslation'!A2:A1000)</f>
        <v>5.7692307692307696E-2</v>
      </c>
      <c r="E5" s="25"/>
    </row>
    <row r="6" spans="1:5" x14ac:dyDescent="0.45">
      <c r="A6" s="6"/>
      <c r="B6" s="6" t="s">
        <v>12</v>
      </c>
      <c r="C6" s="6">
        <f>COUNTIF('(a) Entity Mistranslation'!E2:E1000,"Entity substitution")</f>
        <v>2</v>
      </c>
      <c r="D6" s="7">
        <f>C6/COUNTA('(a) Entity Mistranslation'!A2:A1000)</f>
        <v>1.9230769230769232E-2</v>
      </c>
      <c r="E6" s="25"/>
    </row>
    <row r="7" spans="1:5" x14ac:dyDescent="0.45">
      <c r="A7" s="6"/>
      <c r="B7" s="6" t="s">
        <v>13</v>
      </c>
      <c r="C7" s="6">
        <f>COUNTIF('(a) Entity Mistranslation'!E2:E1000,"Value lost in translation")</f>
        <v>2</v>
      </c>
      <c r="D7" s="7">
        <f>C7/COUNTA('(a) Entity Mistranslation'!A2:A1000)</f>
        <v>1.9230769230769232E-2</v>
      </c>
      <c r="E7" s="25"/>
    </row>
    <row r="8" spans="1:5" x14ac:dyDescent="0.45">
      <c r="A8" s="6"/>
      <c r="B8" s="6" t="s">
        <v>14</v>
      </c>
      <c r="C8" s="6">
        <f>COUNTIF('(a) Entity Mistranslation'!E2:E1000,"Inconsistent translation")</f>
        <v>1</v>
      </c>
      <c r="D8" s="7">
        <f>C8/COUNTA('(a) Entity Mistranslation'!A2:A1000)</f>
        <v>9.6153846153846159E-3</v>
      </c>
      <c r="E8" s="25"/>
    </row>
    <row r="9" spans="1:5" x14ac:dyDescent="0.45">
      <c r="A9" s="6"/>
      <c r="B9" s="6" t="s">
        <v>15</v>
      </c>
      <c r="C9" s="6">
        <f>COUNTIF('(a) Entity Mistranslation'!E2:E1000,"Entity mistranslation + condition dropped")</f>
        <v>1</v>
      </c>
      <c r="D9" s="7">
        <f>C9/COUNTA('(a) Entity Mistranslation'!A2:A1000)</f>
        <v>9.6153846153846159E-3</v>
      </c>
      <c r="E9" s="25"/>
    </row>
    <row r="10" spans="1:5" x14ac:dyDescent="0.45">
      <c r="A10" s="8" t="s">
        <v>2</v>
      </c>
      <c r="B10" s="9" t="s">
        <v>16</v>
      </c>
      <c r="C10" s="9">
        <f>COUNTIF('(b) Value Typo-Error'!E2:E1000,"Number mismatch")</f>
        <v>9</v>
      </c>
      <c r="D10" s="10">
        <f>C10/COUNTA('(b) Value Typo-Error'!A2:A1000)</f>
        <v>0.75</v>
      </c>
      <c r="E10" s="22">
        <f>SUM(D10:D11)</f>
        <v>1</v>
      </c>
    </row>
    <row r="11" spans="1:5" x14ac:dyDescent="0.45">
      <c r="A11" s="9"/>
      <c r="B11" s="9" t="s">
        <v>17</v>
      </c>
      <c r="C11" s="9">
        <f>COUNTIF('(b) Value Typo-Error'!E2:E1000,"Value typo")</f>
        <v>3</v>
      </c>
      <c r="D11" s="10">
        <f>C11/COUNTA('(b) Value Typo-Error'!A2:A1000)</f>
        <v>0.25</v>
      </c>
      <c r="E11" s="23"/>
    </row>
    <row r="12" spans="1:5" x14ac:dyDescent="0.45">
      <c r="A12" s="11" t="s">
        <v>3</v>
      </c>
      <c r="B12" s="12" t="s">
        <v>18</v>
      </c>
      <c r="C12" s="12">
        <f>COUNTIF('(c) Added-Dropped Constraints'!E2:E1000,"Condition dropped")</f>
        <v>10</v>
      </c>
      <c r="D12" s="13">
        <f>C12/COUNTA('(c) Added-Dropped Constraints'!A2:A1000)</f>
        <v>0.37037037037037035</v>
      </c>
      <c r="E12" s="20">
        <f>SUM(D12:D17)</f>
        <v>1</v>
      </c>
    </row>
    <row r="13" spans="1:5" x14ac:dyDescent="0.45">
      <c r="A13" s="12"/>
      <c r="B13" s="12" t="s">
        <v>19</v>
      </c>
      <c r="C13" s="12">
        <f>COUNTIF('(c) Added-Dropped Constraints'!E2:E1000,"Number dropped")</f>
        <v>6</v>
      </c>
      <c r="D13" s="13">
        <f>C13/COUNTA('(c) Added-Dropped Constraints'!A2:A1000)</f>
        <v>0.22222222222222221</v>
      </c>
      <c r="E13" s="21"/>
    </row>
    <row r="14" spans="1:5" x14ac:dyDescent="0.45">
      <c r="A14" s="12"/>
      <c r="B14" s="12" t="s">
        <v>20</v>
      </c>
      <c r="C14" s="12">
        <f>COUNTIF('(c) Added-Dropped Constraints'!E2:E1000,"Value dropped")</f>
        <v>6</v>
      </c>
      <c r="D14" s="13">
        <f>C14/COUNTA('(c) Added-Dropped Constraints'!A2:A1000)</f>
        <v>0.22222222222222221</v>
      </c>
      <c r="E14" s="21"/>
    </row>
    <row r="15" spans="1:5" x14ac:dyDescent="0.45">
      <c r="A15" s="12"/>
      <c r="B15" s="12" t="s">
        <v>21</v>
      </c>
      <c r="C15" s="12">
        <f>COUNTIF('(c) Added-Dropped Constraints'!E2:E1000,"Truncated question")</f>
        <v>2</v>
      </c>
      <c r="D15" s="13">
        <f>C15/COUNTA('(c) Added-Dropped Constraints'!A2:A1000)</f>
        <v>7.407407407407407E-2</v>
      </c>
      <c r="E15" s="21"/>
    </row>
    <row r="16" spans="1:5" x14ac:dyDescent="0.45">
      <c r="A16" s="12"/>
      <c r="B16" s="12" t="s">
        <v>22</v>
      </c>
      <c r="C16" s="12">
        <f>COUNTIF('(c) Added-Dropped Constraints'!E2:E1000,"Value dropped / truncated question")</f>
        <v>2</v>
      </c>
      <c r="D16" s="13">
        <f>C16/COUNTA('(c) Added-Dropped Constraints'!A2:A1000)</f>
        <v>7.407407407407407E-2</v>
      </c>
      <c r="E16" s="21"/>
    </row>
    <row r="17" spans="1:5" x14ac:dyDescent="0.45">
      <c r="A17" s="12"/>
      <c r="B17" s="12" t="s">
        <v>23</v>
      </c>
      <c r="C17" s="12">
        <f>COUNTIF('(c) Added-Dropped Constraints'!E2:E1000,"Semantics inverted")</f>
        <v>1</v>
      </c>
      <c r="D17" s="13">
        <f>C17/COUNTA('(c) Added-Dropped Constraints'!A2:A1000)</f>
        <v>3.7037037037037035E-2</v>
      </c>
      <c r="E17" s="21"/>
    </row>
    <row r="18" spans="1:5" x14ac:dyDescent="0.45">
      <c r="A18" s="14" t="s">
        <v>4</v>
      </c>
      <c r="B18" s="15" t="s">
        <v>24</v>
      </c>
      <c r="C18" s="15">
        <f>COUNTIF('(d) Transliteration Mismatch'!E2:E1000,"Transliteration mismatch")</f>
        <v>2</v>
      </c>
      <c r="D18" s="16">
        <f>C18/COUNTA('(d) Transliteration Mismatch'!A2:A1000)</f>
        <v>0.33333333333333331</v>
      </c>
      <c r="E18" s="18">
        <f>SUM(D18:D20)</f>
        <v>1</v>
      </c>
    </row>
    <row r="19" spans="1:5" x14ac:dyDescent="0.45">
      <c r="A19" s="15"/>
      <c r="B19" s="15" t="s">
        <v>25</v>
      </c>
      <c r="C19" s="15">
        <f>COUNTIF('(d) Transliteration Mismatch'!E2:E1000,"Transliteration typo")</f>
        <v>2</v>
      </c>
      <c r="D19" s="16">
        <f>C19/COUNTA('(d) Transliteration Mismatch'!A2:A1000)</f>
        <v>0.33333333333333331</v>
      </c>
      <c r="E19" s="19"/>
    </row>
    <row r="20" spans="1:5" x14ac:dyDescent="0.45">
      <c r="A20" s="15"/>
      <c r="B20" s="15" t="s">
        <v>26</v>
      </c>
      <c r="C20" s="15">
        <f>COUNTIF('(d) Transliteration Mismatch'!E2:E1000,"Transliteration/typo")</f>
        <v>2</v>
      </c>
      <c r="D20" s="16">
        <f>C20/COUNTA('(d) Transliteration Mismatch'!A2:A1000)</f>
        <v>0.33333333333333331</v>
      </c>
      <c r="E20" s="19"/>
    </row>
    <row r="21" spans="1:5" x14ac:dyDescent="0.45">
      <c r="C21">
        <f>SUM(C2:C20)</f>
        <v>149</v>
      </c>
      <c r="D21" s="17"/>
    </row>
  </sheetData>
  <mergeCells count="4">
    <mergeCell ref="E2:E9"/>
    <mergeCell ref="E10:E11"/>
    <mergeCell ref="E12:E17"/>
    <mergeCell ref="E18:E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5"/>
  <sheetViews>
    <sheetView tabSelected="1" zoomScaleNormal="100" workbookViewId="0">
      <pane ySplit="1" topLeftCell="A49" activePane="bottomLeft" state="frozen"/>
      <selection pane="bottomLeft" sqref="A1:XFD1"/>
    </sheetView>
  </sheetViews>
  <sheetFormatPr defaultColWidth="8.6640625" defaultRowHeight="14.25" x14ac:dyDescent="0.45"/>
  <cols>
    <col min="1" max="1" width="5" customWidth="1"/>
    <col min="2" max="3" width="7" customWidth="1"/>
    <col min="4" max="4" width="16" customWidth="1"/>
    <col min="5" max="5" width="24" customWidth="1"/>
    <col min="6" max="6" width="48" customWidth="1"/>
    <col min="7" max="7" width="58" customWidth="1"/>
  </cols>
  <sheetData>
    <row r="1" spans="1:7" x14ac:dyDescent="0.45">
      <c r="A1" s="3" t="s">
        <v>28</v>
      </c>
      <c r="B1" s="3" t="s">
        <v>27</v>
      </c>
      <c r="C1" s="3" t="s">
        <v>304</v>
      </c>
      <c r="D1" s="3" t="s">
        <v>29</v>
      </c>
      <c r="E1" s="3" t="s">
        <v>5</v>
      </c>
      <c r="F1" s="3" t="s">
        <v>30</v>
      </c>
      <c r="G1" s="3" t="s">
        <v>31</v>
      </c>
    </row>
    <row r="2" spans="1:7" ht="38.25" x14ac:dyDescent="0.45">
      <c r="A2" s="1">
        <v>1</v>
      </c>
      <c r="B2" s="1" t="s">
        <v>32</v>
      </c>
      <c r="C2" s="1">
        <v>66</v>
      </c>
      <c r="D2" s="1" t="s">
        <v>33</v>
      </c>
      <c r="E2" s="1" t="s">
        <v>9</v>
      </c>
      <c r="F2" s="2" t="s">
        <v>34</v>
      </c>
      <c r="G2" s="1" t="s">
        <v>35</v>
      </c>
    </row>
    <row r="3" spans="1:7" ht="25.5" x14ac:dyDescent="0.45">
      <c r="A3" s="1">
        <v>2</v>
      </c>
      <c r="B3" s="1" t="s">
        <v>32</v>
      </c>
      <c r="C3" s="1">
        <v>218</v>
      </c>
      <c r="D3" s="1" t="s">
        <v>36</v>
      </c>
      <c r="E3" s="1" t="s">
        <v>10</v>
      </c>
      <c r="F3" s="2" t="s">
        <v>37</v>
      </c>
      <c r="G3" s="1" t="s">
        <v>38</v>
      </c>
    </row>
    <row r="4" spans="1:7" ht="25.5" x14ac:dyDescent="0.45">
      <c r="A4" s="1">
        <v>3</v>
      </c>
      <c r="B4" s="1" t="s">
        <v>32</v>
      </c>
      <c r="C4" s="1">
        <v>347</v>
      </c>
      <c r="D4" s="1" t="s">
        <v>39</v>
      </c>
      <c r="E4" s="1" t="s">
        <v>14</v>
      </c>
      <c r="F4" s="2" t="s">
        <v>40</v>
      </c>
      <c r="G4" s="1" t="s">
        <v>41</v>
      </c>
    </row>
    <row r="5" spans="1:7" ht="38.25" x14ac:dyDescent="0.45">
      <c r="A5" s="1">
        <v>4</v>
      </c>
      <c r="B5" s="1" t="s">
        <v>32</v>
      </c>
      <c r="C5" s="1">
        <v>424</v>
      </c>
      <c r="D5" s="1" t="s">
        <v>42</v>
      </c>
      <c r="E5" s="1" t="s">
        <v>8</v>
      </c>
      <c r="F5" s="2" t="s">
        <v>43</v>
      </c>
      <c r="G5" s="1" t="s">
        <v>44</v>
      </c>
    </row>
    <row r="6" spans="1:7" ht="38.25" x14ac:dyDescent="0.45">
      <c r="A6" s="1">
        <v>5</v>
      </c>
      <c r="B6" s="1" t="s">
        <v>32</v>
      </c>
      <c r="C6" s="1">
        <v>425</v>
      </c>
      <c r="D6" s="1" t="s">
        <v>42</v>
      </c>
      <c r="E6" s="1" t="s">
        <v>8</v>
      </c>
      <c r="F6" s="2" t="s">
        <v>45</v>
      </c>
      <c r="G6" s="1" t="s">
        <v>44</v>
      </c>
    </row>
    <row r="7" spans="1:7" ht="38.25" x14ac:dyDescent="0.45">
      <c r="A7" s="1">
        <v>6</v>
      </c>
      <c r="B7" s="1" t="s">
        <v>32</v>
      </c>
      <c r="C7" s="1">
        <v>448</v>
      </c>
      <c r="D7" s="1" t="s">
        <v>42</v>
      </c>
      <c r="E7" s="1" t="s">
        <v>8</v>
      </c>
      <c r="F7" s="2" t="s">
        <v>46</v>
      </c>
      <c r="G7" s="1" t="s">
        <v>47</v>
      </c>
    </row>
    <row r="8" spans="1:7" ht="38.25" x14ac:dyDescent="0.45">
      <c r="A8" s="1">
        <v>7</v>
      </c>
      <c r="B8" s="1" t="s">
        <v>32</v>
      </c>
      <c r="C8" s="1">
        <v>449</v>
      </c>
      <c r="D8" s="1" t="s">
        <v>42</v>
      </c>
      <c r="E8" s="1" t="s">
        <v>8</v>
      </c>
      <c r="F8" s="2" t="s">
        <v>48</v>
      </c>
      <c r="G8" s="1" t="s">
        <v>47</v>
      </c>
    </row>
    <row r="9" spans="1:7" ht="38.25" x14ac:dyDescent="0.45">
      <c r="A9" s="1">
        <v>8</v>
      </c>
      <c r="B9" s="1" t="s">
        <v>32</v>
      </c>
      <c r="C9" s="1">
        <v>696</v>
      </c>
      <c r="D9" s="1" t="s">
        <v>49</v>
      </c>
      <c r="E9" s="1" t="s">
        <v>11</v>
      </c>
      <c r="F9" s="2" t="s">
        <v>50</v>
      </c>
      <c r="G9" s="1" t="s">
        <v>51</v>
      </c>
    </row>
    <row r="10" spans="1:7" ht="38.25" x14ac:dyDescent="0.45">
      <c r="A10" s="1">
        <v>9</v>
      </c>
      <c r="B10" s="1" t="s">
        <v>32</v>
      </c>
      <c r="C10" s="1">
        <v>697</v>
      </c>
      <c r="D10" s="1" t="s">
        <v>49</v>
      </c>
      <c r="E10" s="1" t="s">
        <v>11</v>
      </c>
      <c r="F10" s="2" t="s">
        <v>52</v>
      </c>
      <c r="G10" s="1" t="s">
        <v>51</v>
      </c>
    </row>
    <row r="11" spans="1:7" ht="38.25" x14ac:dyDescent="0.45">
      <c r="A11" s="1">
        <v>10</v>
      </c>
      <c r="B11" s="1" t="s">
        <v>32</v>
      </c>
      <c r="C11" s="1">
        <v>698</v>
      </c>
      <c r="D11" s="1" t="s">
        <v>49</v>
      </c>
      <c r="E11" s="1" t="s">
        <v>11</v>
      </c>
      <c r="F11" s="2" t="s">
        <v>53</v>
      </c>
      <c r="G11" s="1" t="s">
        <v>54</v>
      </c>
    </row>
    <row r="12" spans="1:7" ht="38.25" x14ac:dyDescent="0.45">
      <c r="A12" s="1">
        <v>11</v>
      </c>
      <c r="B12" s="1" t="s">
        <v>32</v>
      </c>
      <c r="C12" s="1">
        <v>699</v>
      </c>
      <c r="D12" s="1" t="s">
        <v>49</v>
      </c>
      <c r="E12" s="1" t="s">
        <v>11</v>
      </c>
      <c r="F12" s="2" t="s">
        <v>55</v>
      </c>
      <c r="G12" s="1" t="s">
        <v>54</v>
      </c>
    </row>
    <row r="13" spans="1:7" ht="51" x14ac:dyDescent="0.45">
      <c r="A13" s="1">
        <v>12</v>
      </c>
      <c r="B13" s="1" t="s">
        <v>32</v>
      </c>
      <c r="C13" s="1">
        <v>700</v>
      </c>
      <c r="D13" s="1" t="s">
        <v>49</v>
      </c>
      <c r="E13" s="1" t="s">
        <v>11</v>
      </c>
      <c r="F13" s="2" t="s">
        <v>56</v>
      </c>
      <c r="G13" s="1" t="s">
        <v>57</v>
      </c>
    </row>
    <row r="14" spans="1:7" ht="51" x14ac:dyDescent="0.45">
      <c r="A14" s="1">
        <v>13</v>
      </c>
      <c r="B14" s="1" t="s">
        <v>32</v>
      </c>
      <c r="C14" s="1">
        <v>701</v>
      </c>
      <c r="D14" s="1" t="s">
        <v>49</v>
      </c>
      <c r="E14" s="1" t="s">
        <v>11</v>
      </c>
      <c r="F14" s="2" t="s">
        <v>58</v>
      </c>
      <c r="G14" s="1" t="s">
        <v>57</v>
      </c>
    </row>
    <row r="15" spans="1:7" ht="51" x14ac:dyDescent="0.45">
      <c r="A15" s="1">
        <v>14</v>
      </c>
      <c r="B15" s="1" t="s">
        <v>59</v>
      </c>
      <c r="C15" s="1">
        <v>458</v>
      </c>
      <c r="D15" s="1" t="s">
        <v>60</v>
      </c>
      <c r="E15" s="1" t="s">
        <v>8</v>
      </c>
      <c r="F15" s="2" t="s">
        <v>61</v>
      </c>
      <c r="G15" s="1" t="s">
        <v>62</v>
      </c>
    </row>
    <row r="16" spans="1:7" ht="63.75" x14ac:dyDescent="0.45">
      <c r="A16" s="1">
        <v>15</v>
      </c>
      <c r="B16" s="1" t="s">
        <v>59</v>
      </c>
      <c r="C16" s="1">
        <v>717</v>
      </c>
      <c r="D16" s="1" t="s">
        <v>63</v>
      </c>
      <c r="E16" s="1" t="s">
        <v>12</v>
      </c>
      <c r="F16" s="2" t="s">
        <v>64</v>
      </c>
      <c r="G16" s="1" t="s">
        <v>65</v>
      </c>
    </row>
    <row r="17" spans="1:7" ht="63.75" x14ac:dyDescent="0.45">
      <c r="A17" s="1">
        <v>16</v>
      </c>
      <c r="B17" s="1" t="s">
        <v>59</v>
      </c>
      <c r="C17" s="1">
        <v>718</v>
      </c>
      <c r="D17" s="1" t="s">
        <v>63</v>
      </c>
      <c r="E17" s="1" t="s">
        <v>12</v>
      </c>
      <c r="F17" s="2" t="s">
        <v>66</v>
      </c>
      <c r="G17" s="1" t="s">
        <v>65</v>
      </c>
    </row>
    <row r="18" spans="1:7" ht="38.25" x14ac:dyDescent="0.45">
      <c r="A18" s="1">
        <v>17</v>
      </c>
      <c r="B18" s="1" t="s">
        <v>59</v>
      </c>
      <c r="C18" s="1">
        <v>1043</v>
      </c>
      <c r="D18" s="1" t="s">
        <v>67</v>
      </c>
      <c r="E18" s="1" t="s">
        <v>10</v>
      </c>
      <c r="F18" s="2" t="s">
        <v>68</v>
      </c>
      <c r="G18" s="1" t="s">
        <v>69</v>
      </c>
    </row>
    <row r="19" spans="1:7" ht="38.25" x14ac:dyDescent="0.45">
      <c r="A19" s="1">
        <v>18</v>
      </c>
      <c r="B19" s="1" t="s">
        <v>59</v>
      </c>
      <c r="C19" s="1">
        <v>1044</v>
      </c>
      <c r="D19" s="1" t="s">
        <v>67</v>
      </c>
      <c r="E19" s="1" t="s">
        <v>10</v>
      </c>
      <c r="F19" s="2" t="s">
        <v>70</v>
      </c>
      <c r="G19" s="1" t="s">
        <v>69</v>
      </c>
    </row>
    <row r="20" spans="1:7" ht="25.5" x14ac:dyDescent="0.45">
      <c r="A20" s="1">
        <v>19</v>
      </c>
      <c r="B20" s="1" t="s">
        <v>59</v>
      </c>
      <c r="C20" s="1">
        <v>1302</v>
      </c>
      <c r="D20" s="1" t="s">
        <v>71</v>
      </c>
      <c r="E20" s="1" t="s">
        <v>8</v>
      </c>
      <c r="F20" s="2" t="s">
        <v>72</v>
      </c>
      <c r="G20" s="1" t="s">
        <v>73</v>
      </c>
    </row>
    <row r="21" spans="1:7" ht="38.25" x14ac:dyDescent="0.45">
      <c r="A21" s="1">
        <v>20</v>
      </c>
      <c r="B21" s="1" t="s">
        <v>59</v>
      </c>
      <c r="C21" s="1">
        <v>1638</v>
      </c>
      <c r="D21" s="1" t="s">
        <v>74</v>
      </c>
      <c r="E21" s="1" t="s">
        <v>9</v>
      </c>
      <c r="F21" s="2" t="s">
        <v>75</v>
      </c>
      <c r="G21" s="1" t="s">
        <v>76</v>
      </c>
    </row>
    <row r="22" spans="1:7" ht="38.25" x14ac:dyDescent="0.45">
      <c r="A22" s="1">
        <v>21</v>
      </c>
      <c r="B22" s="1" t="s">
        <v>59</v>
      </c>
      <c r="C22" s="1">
        <v>1639</v>
      </c>
      <c r="D22" s="1" t="s">
        <v>74</v>
      </c>
      <c r="E22" s="1" t="s">
        <v>9</v>
      </c>
      <c r="F22" s="2" t="s">
        <v>77</v>
      </c>
      <c r="G22" s="1" t="s">
        <v>76</v>
      </c>
    </row>
    <row r="23" spans="1:7" ht="38.25" x14ac:dyDescent="0.45">
      <c r="A23" s="1">
        <v>22</v>
      </c>
      <c r="B23" s="1" t="s">
        <v>59</v>
      </c>
      <c r="C23" s="1">
        <v>1640</v>
      </c>
      <c r="D23" s="1" t="s">
        <v>74</v>
      </c>
      <c r="E23" s="1" t="s">
        <v>9</v>
      </c>
      <c r="F23" s="2" t="s">
        <v>78</v>
      </c>
      <c r="G23" s="1" t="s">
        <v>79</v>
      </c>
    </row>
    <row r="24" spans="1:7" ht="38.25" x14ac:dyDescent="0.45">
      <c r="A24" s="1">
        <v>23</v>
      </c>
      <c r="B24" s="1" t="s">
        <v>59</v>
      </c>
      <c r="C24" s="1">
        <v>1641</v>
      </c>
      <c r="D24" s="1" t="s">
        <v>74</v>
      </c>
      <c r="E24" s="1" t="s">
        <v>9</v>
      </c>
      <c r="F24" s="2" t="s">
        <v>80</v>
      </c>
      <c r="G24" s="1" t="s">
        <v>79</v>
      </c>
    </row>
    <row r="25" spans="1:7" ht="38.25" x14ac:dyDescent="0.45">
      <c r="A25" s="1">
        <v>24</v>
      </c>
      <c r="B25" s="1" t="s">
        <v>59</v>
      </c>
      <c r="C25" s="1">
        <v>1670</v>
      </c>
      <c r="D25" s="1" t="s">
        <v>74</v>
      </c>
      <c r="E25" s="1" t="s">
        <v>9</v>
      </c>
      <c r="F25" s="2" t="s">
        <v>81</v>
      </c>
      <c r="G25" s="1" t="s">
        <v>82</v>
      </c>
    </row>
    <row r="26" spans="1:7" ht="38.25" x14ac:dyDescent="0.45">
      <c r="A26" s="1">
        <v>25</v>
      </c>
      <c r="B26" s="1" t="s">
        <v>59</v>
      </c>
      <c r="C26" s="1">
        <v>1671</v>
      </c>
      <c r="D26" s="1" t="s">
        <v>74</v>
      </c>
      <c r="E26" s="1" t="s">
        <v>9</v>
      </c>
      <c r="F26" s="2" t="s">
        <v>83</v>
      </c>
      <c r="G26" s="1" t="s">
        <v>82</v>
      </c>
    </row>
    <row r="27" spans="1:7" ht="38.25" x14ac:dyDescent="0.45">
      <c r="A27" s="1">
        <v>26</v>
      </c>
      <c r="B27" s="1" t="s">
        <v>59</v>
      </c>
      <c r="C27" s="1">
        <v>1686</v>
      </c>
      <c r="D27" s="1" t="s">
        <v>74</v>
      </c>
      <c r="E27" s="1" t="s">
        <v>9</v>
      </c>
      <c r="F27" s="2" t="s">
        <v>84</v>
      </c>
      <c r="G27" s="1" t="s">
        <v>85</v>
      </c>
    </row>
    <row r="28" spans="1:7" ht="38.25" x14ac:dyDescent="0.45">
      <c r="A28" s="1">
        <v>27</v>
      </c>
      <c r="B28" s="1" t="s">
        <v>59</v>
      </c>
      <c r="C28" s="1">
        <v>1687</v>
      </c>
      <c r="D28" s="1" t="s">
        <v>74</v>
      </c>
      <c r="E28" s="1" t="s">
        <v>15</v>
      </c>
      <c r="F28" s="2" t="s">
        <v>86</v>
      </c>
      <c r="G28" s="1" t="s">
        <v>85</v>
      </c>
    </row>
    <row r="29" spans="1:7" ht="38.25" x14ac:dyDescent="0.45">
      <c r="A29" s="1">
        <v>28</v>
      </c>
      <c r="B29" s="1" t="s">
        <v>59</v>
      </c>
      <c r="C29" s="1">
        <v>1687</v>
      </c>
      <c r="D29" s="1" t="s">
        <v>74</v>
      </c>
      <c r="E29" s="1" t="s">
        <v>9</v>
      </c>
      <c r="F29" s="2" t="s">
        <v>86</v>
      </c>
      <c r="G29" s="1" t="s">
        <v>85</v>
      </c>
    </row>
    <row r="30" spans="1:7" ht="38.25" x14ac:dyDescent="0.45">
      <c r="A30" s="1">
        <v>29</v>
      </c>
      <c r="B30" s="1" t="s">
        <v>59</v>
      </c>
      <c r="C30" s="1">
        <v>1688</v>
      </c>
      <c r="D30" s="1" t="s">
        <v>74</v>
      </c>
      <c r="E30" s="1" t="s">
        <v>9</v>
      </c>
      <c r="F30" s="2" t="s">
        <v>87</v>
      </c>
      <c r="G30" s="1" t="s">
        <v>88</v>
      </c>
    </row>
    <row r="31" spans="1:7" ht="38.25" x14ac:dyDescent="0.45">
      <c r="A31" s="1">
        <v>30</v>
      </c>
      <c r="B31" s="1" t="s">
        <v>59</v>
      </c>
      <c r="C31" s="1">
        <v>1689</v>
      </c>
      <c r="D31" s="1" t="s">
        <v>74</v>
      </c>
      <c r="E31" s="1" t="s">
        <v>9</v>
      </c>
      <c r="F31" s="2" t="s">
        <v>89</v>
      </c>
      <c r="G31" s="1" t="s">
        <v>88</v>
      </c>
    </row>
    <row r="32" spans="1:7" ht="38.25" x14ac:dyDescent="0.45">
      <c r="A32" s="1">
        <v>31</v>
      </c>
      <c r="B32" s="1" t="s">
        <v>59</v>
      </c>
      <c r="C32" s="1">
        <v>1690</v>
      </c>
      <c r="D32" s="1" t="s">
        <v>74</v>
      </c>
      <c r="E32" s="1" t="s">
        <v>9</v>
      </c>
      <c r="F32" s="2" t="s">
        <v>90</v>
      </c>
      <c r="G32" s="1" t="s">
        <v>91</v>
      </c>
    </row>
    <row r="33" spans="1:7" ht="38.25" x14ac:dyDescent="0.45">
      <c r="A33" s="1">
        <v>32</v>
      </c>
      <c r="B33" s="1" t="s">
        <v>59</v>
      </c>
      <c r="C33" s="1">
        <v>1691</v>
      </c>
      <c r="D33" s="1" t="s">
        <v>74</v>
      </c>
      <c r="E33" s="1" t="s">
        <v>9</v>
      </c>
      <c r="F33" s="2" t="s">
        <v>92</v>
      </c>
      <c r="G33" s="1" t="s">
        <v>91</v>
      </c>
    </row>
    <row r="34" spans="1:7" ht="38.25" x14ac:dyDescent="0.45">
      <c r="A34" s="1">
        <v>33</v>
      </c>
      <c r="B34" s="1" t="s">
        <v>59</v>
      </c>
      <c r="C34" s="1">
        <v>1692</v>
      </c>
      <c r="D34" s="1" t="s">
        <v>74</v>
      </c>
      <c r="E34" s="1" t="s">
        <v>9</v>
      </c>
      <c r="F34" s="2" t="s">
        <v>93</v>
      </c>
      <c r="G34" s="1" t="s">
        <v>94</v>
      </c>
    </row>
    <row r="35" spans="1:7" ht="38.25" x14ac:dyDescent="0.45">
      <c r="A35" s="1">
        <v>34</v>
      </c>
      <c r="B35" s="1" t="s">
        <v>59</v>
      </c>
      <c r="C35" s="1">
        <v>1693</v>
      </c>
      <c r="D35" s="1" t="s">
        <v>74</v>
      </c>
      <c r="E35" s="1" t="s">
        <v>9</v>
      </c>
      <c r="F35" s="2" t="s">
        <v>95</v>
      </c>
      <c r="G35" s="1" t="s">
        <v>94</v>
      </c>
    </row>
    <row r="36" spans="1:7" ht="25.5" x14ac:dyDescent="0.45">
      <c r="A36" s="1">
        <v>35</v>
      </c>
      <c r="B36" s="1" t="s">
        <v>59</v>
      </c>
      <c r="C36" s="1">
        <v>2376</v>
      </c>
      <c r="D36" s="1" t="s">
        <v>96</v>
      </c>
      <c r="E36" s="1" t="s">
        <v>13</v>
      </c>
      <c r="F36" s="2" t="s">
        <v>97</v>
      </c>
      <c r="G36" s="1" t="s">
        <v>98</v>
      </c>
    </row>
    <row r="37" spans="1:7" ht="25.5" x14ac:dyDescent="0.45">
      <c r="A37" s="1">
        <v>36</v>
      </c>
      <c r="B37" s="1" t="s">
        <v>59</v>
      </c>
      <c r="C37" s="1">
        <v>2377</v>
      </c>
      <c r="D37" s="1" t="s">
        <v>96</v>
      </c>
      <c r="E37" s="1" t="s">
        <v>13</v>
      </c>
      <c r="F37" s="2" t="s">
        <v>99</v>
      </c>
      <c r="G37" s="1" t="s">
        <v>98</v>
      </c>
    </row>
    <row r="38" spans="1:7" x14ac:dyDescent="0.45">
      <c r="A38" s="1">
        <v>37</v>
      </c>
      <c r="B38" s="1" t="s">
        <v>59</v>
      </c>
      <c r="C38" s="1">
        <v>2652</v>
      </c>
      <c r="D38" s="1" t="s">
        <v>100</v>
      </c>
      <c r="E38" s="1" t="s">
        <v>8</v>
      </c>
      <c r="F38" s="2" t="s">
        <v>101</v>
      </c>
      <c r="G38" s="1" t="s">
        <v>102</v>
      </c>
    </row>
    <row r="39" spans="1:7" x14ac:dyDescent="0.45">
      <c r="A39" s="1">
        <v>38</v>
      </c>
      <c r="B39" s="1" t="s">
        <v>59</v>
      </c>
      <c r="C39" s="1">
        <v>2653</v>
      </c>
      <c r="D39" s="1" t="s">
        <v>100</v>
      </c>
      <c r="E39" s="1" t="s">
        <v>8</v>
      </c>
      <c r="F39" s="2" t="s">
        <v>103</v>
      </c>
      <c r="G39" s="1" t="s">
        <v>102</v>
      </c>
    </row>
    <row r="40" spans="1:7" x14ac:dyDescent="0.45">
      <c r="A40" s="1">
        <v>39</v>
      </c>
      <c r="B40" s="1" t="s">
        <v>59</v>
      </c>
      <c r="C40" s="1">
        <v>3340</v>
      </c>
      <c r="D40" s="1" t="s">
        <v>104</v>
      </c>
      <c r="E40" s="1" t="s">
        <v>8</v>
      </c>
      <c r="F40" s="2" t="s">
        <v>105</v>
      </c>
      <c r="G40" s="1" t="s">
        <v>106</v>
      </c>
    </row>
    <row r="41" spans="1:7" x14ac:dyDescent="0.45">
      <c r="A41" s="1">
        <v>40</v>
      </c>
      <c r="B41" s="1" t="s">
        <v>59</v>
      </c>
      <c r="C41" s="1">
        <v>3341</v>
      </c>
      <c r="D41" s="1" t="s">
        <v>104</v>
      </c>
      <c r="E41" s="1" t="s">
        <v>8</v>
      </c>
      <c r="F41" s="2" t="s">
        <v>107</v>
      </c>
      <c r="G41" s="1" t="s">
        <v>106</v>
      </c>
    </row>
    <row r="42" spans="1:7" ht="25.5" x14ac:dyDescent="0.45">
      <c r="A42" s="1">
        <v>41</v>
      </c>
      <c r="B42" s="1" t="s">
        <v>59</v>
      </c>
      <c r="C42" s="1">
        <v>3350</v>
      </c>
      <c r="D42" s="1" t="s">
        <v>104</v>
      </c>
      <c r="E42" s="1" t="s">
        <v>8</v>
      </c>
      <c r="F42" s="2" t="s">
        <v>108</v>
      </c>
      <c r="G42" s="1" t="s">
        <v>109</v>
      </c>
    </row>
    <row r="43" spans="1:7" ht="38.25" x14ac:dyDescent="0.45">
      <c r="A43" s="1">
        <v>42</v>
      </c>
      <c r="B43" s="1" t="s">
        <v>59</v>
      </c>
      <c r="C43" s="1">
        <v>3400</v>
      </c>
      <c r="D43" s="1" t="s">
        <v>104</v>
      </c>
      <c r="E43" s="1" t="s">
        <v>8</v>
      </c>
      <c r="F43" s="2" t="s">
        <v>110</v>
      </c>
      <c r="G43" s="1" t="s">
        <v>111</v>
      </c>
    </row>
    <row r="44" spans="1:7" ht="38.25" x14ac:dyDescent="0.45">
      <c r="A44" s="1">
        <v>43</v>
      </c>
      <c r="B44" s="1" t="s">
        <v>59</v>
      </c>
      <c r="C44" s="1">
        <v>3401</v>
      </c>
      <c r="D44" s="1" t="s">
        <v>104</v>
      </c>
      <c r="E44" s="1" t="s">
        <v>8</v>
      </c>
      <c r="F44" s="2" t="s">
        <v>112</v>
      </c>
      <c r="G44" s="1" t="s">
        <v>111</v>
      </c>
    </row>
    <row r="45" spans="1:7" ht="51" x14ac:dyDescent="0.45">
      <c r="A45" s="1">
        <v>44</v>
      </c>
      <c r="B45" s="1" t="s">
        <v>59</v>
      </c>
      <c r="C45" s="1">
        <v>3413</v>
      </c>
      <c r="D45" s="1" t="s">
        <v>104</v>
      </c>
      <c r="E45" s="1" t="s">
        <v>8</v>
      </c>
      <c r="F45" s="2" t="s">
        <v>113</v>
      </c>
      <c r="G45" s="1" t="s">
        <v>114</v>
      </c>
    </row>
    <row r="46" spans="1:7" ht="25.5" x14ac:dyDescent="0.45">
      <c r="A46" s="1">
        <v>45</v>
      </c>
      <c r="B46" s="1" t="s">
        <v>59</v>
      </c>
      <c r="C46" s="1">
        <v>3732</v>
      </c>
      <c r="D46" s="1" t="s">
        <v>115</v>
      </c>
      <c r="E46" s="1" t="s">
        <v>8</v>
      </c>
      <c r="F46" s="2" t="s">
        <v>116</v>
      </c>
      <c r="G46" s="1" t="s">
        <v>117</v>
      </c>
    </row>
    <row r="47" spans="1:7" ht="25.5" x14ac:dyDescent="0.45">
      <c r="A47" s="1">
        <v>46</v>
      </c>
      <c r="B47" s="1" t="s">
        <v>59</v>
      </c>
      <c r="C47" s="1">
        <v>3733</v>
      </c>
      <c r="D47" s="1" t="s">
        <v>115</v>
      </c>
      <c r="E47" s="1" t="s">
        <v>8</v>
      </c>
      <c r="F47" s="2" t="s">
        <v>118</v>
      </c>
      <c r="G47" s="1" t="s">
        <v>117</v>
      </c>
    </row>
    <row r="48" spans="1:7" ht="38.25" x14ac:dyDescent="0.45">
      <c r="A48" s="1">
        <v>47</v>
      </c>
      <c r="B48" s="1" t="s">
        <v>59</v>
      </c>
      <c r="C48" s="1">
        <v>3740</v>
      </c>
      <c r="D48" s="1" t="s">
        <v>115</v>
      </c>
      <c r="E48" s="1" t="s">
        <v>8</v>
      </c>
      <c r="F48" s="2" t="s">
        <v>119</v>
      </c>
      <c r="G48" s="1" t="s">
        <v>120</v>
      </c>
    </row>
    <row r="49" spans="1:7" ht="38.25" x14ac:dyDescent="0.45">
      <c r="A49" s="1">
        <v>48</v>
      </c>
      <c r="B49" s="1" t="s">
        <v>59</v>
      </c>
      <c r="C49" s="1">
        <v>3741</v>
      </c>
      <c r="D49" s="1" t="s">
        <v>115</v>
      </c>
      <c r="E49" s="1" t="s">
        <v>8</v>
      </c>
      <c r="F49" s="2" t="s">
        <v>121</v>
      </c>
      <c r="G49" s="1" t="s">
        <v>120</v>
      </c>
    </row>
    <row r="50" spans="1:7" ht="63.75" x14ac:dyDescent="0.45">
      <c r="A50" s="1">
        <v>49</v>
      </c>
      <c r="B50" s="1" t="s">
        <v>59</v>
      </c>
      <c r="C50" s="1">
        <v>3750</v>
      </c>
      <c r="D50" s="1" t="s">
        <v>115</v>
      </c>
      <c r="E50" s="1" t="s">
        <v>8</v>
      </c>
      <c r="F50" s="2" t="s">
        <v>122</v>
      </c>
      <c r="G50" s="1" t="s">
        <v>123</v>
      </c>
    </row>
    <row r="51" spans="1:7" ht="51" x14ac:dyDescent="0.45">
      <c r="A51" s="1">
        <v>50</v>
      </c>
      <c r="B51" s="1" t="s">
        <v>59</v>
      </c>
      <c r="C51" s="1">
        <v>3760</v>
      </c>
      <c r="D51" s="1" t="s">
        <v>115</v>
      </c>
      <c r="E51" s="1" t="s">
        <v>8</v>
      </c>
      <c r="F51" s="2" t="s">
        <v>124</v>
      </c>
      <c r="G51" s="1" t="s">
        <v>125</v>
      </c>
    </row>
    <row r="52" spans="1:7" ht="51" x14ac:dyDescent="0.45">
      <c r="A52" s="1">
        <v>51</v>
      </c>
      <c r="B52" s="1" t="s">
        <v>59</v>
      </c>
      <c r="C52" s="1">
        <v>3761</v>
      </c>
      <c r="D52" s="1" t="s">
        <v>115</v>
      </c>
      <c r="E52" s="1" t="s">
        <v>8</v>
      </c>
      <c r="F52" s="2" t="s">
        <v>126</v>
      </c>
      <c r="G52" s="1" t="s">
        <v>125</v>
      </c>
    </row>
    <row r="53" spans="1:7" ht="51" x14ac:dyDescent="0.45">
      <c r="A53" s="1">
        <v>52</v>
      </c>
      <c r="B53" s="1" t="s">
        <v>59</v>
      </c>
      <c r="C53" s="1">
        <v>3781</v>
      </c>
      <c r="D53" s="1" t="s">
        <v>115</v>
      </c>
      <c r="E53" s="1" t="s">
        <v>8</v>
      </c>
      <c r="F53" s="2" t="s">
        <v>127</v>
      </c>
      <c r="G53" s="1" t="s">
        <v>128</v>
      </c>
    </row>
    <row r="54" spans="1:7" ht="63.75" x14ac:dyDescent="0.45">
      <c r="A54" s="1">
        <v>53</v>
      </c>
      <c r="B54" s="1" t="s">
        <v>59</v>
      </c>
      <c r="C54" s="1">
        <v>3782</v>
      </c>
      <c r="D54" s="1" t="s">
        <v>115</v>
      </c>
      <c r="E54" s="1" t="s">
        <v>8</v>
      </c>
      <c r="F54" s="2" t="s">
        <v>129</v>
      </c>
      <c r="G54" s="1" t="s">
        <v>130</v>
      </c>
    </row>
    <row r="55" spans="1:7" ht="63.75" x14ac:dyDescent="0.45">
      <c r="A55" s="1">
        <v>54</v>
      </c>
      <c r="B55" s="1" t="s">
        <v>59</v>
      </c>
      <c r="C55" s="1">
        <v>3783</v>
      </c>
      <c r="D55" s="1" t="s">
        <v>115</v>
      </c>
      <c r="E55" s="1" t="s">
        <v>8</v>
      </c>
      <c r="F55" s="2" t="s">
        <v>131</v>
      </c>
      <c r="G55" s="1" t="s">
        <v>130</v>
      </c>
    </row>
    <row r="56" spans="1:7" ht="102" x14ac:dyDescent="0.45">
      <c r="A56" s="1">
        <v>55</v>
      </c>
      <c r="B56" s="1" t="s">
        <v>59</v>
      </c>
      <c r="C56" s="1">
        <v>4037</v>
      </c>
      <c r="D56" s="1" t="s">
        <v>132</v>
      </c>
      <c r="E56" s="1" t="s">
        <v>8</v>
      </c>
      <c r="F56" s="2" t="s">
        <v>133</v>
      </c>
      <c r="G56" s="1" t="s">
        <v>134</v>
      </c>
    </row>
    <row r="57" spans="1:7" ht="102" x14ac:dyDescent="0.45">
      <c r="A57" s="1">
        <v>56</v>
      </c>
      <c r="B57" s="1" t="s">
        <v>59</v>
      </c>
      <c r="C57" s="1">
        <v>4038</v>
      </c>
      <c r="D57" s="1" t="s">
        <v>132</v>
      </c>
      <c r="E57" s="1" t="s">
        <v>8</v>
      </c>
      <c r="F57" s="2" t="s">
        <v>135</v>
      </c>
      <c r="G57" s="1" t="s">
        <v>134</v>
      </c>
    </row>
    <row r="58" spans="1:7" ht="63.75" x14ac:dyDescent="0.45">
      <c r="A58" s="1">
        <v>57</v>
      </c>
      <c r="B58" s="1" t="s">
        <v>59</v>
      </c>
      <c r="C58" s="1">
        <v>5436</v>
      </c>
      <c r="D58" s="1" t="s">
        <v>136</v>
      </c>
      <c r="E58" s="1" t="s">
        <v>8</v>
      </c>
      <c r="F58" s="2" t="s">
        <v>137</v>
      </c>
      <c r="G58" s="1" t="s">
        <v>138</v>
      </c>
    </row>
    <row r="59" spans="1:7" ht="63.75" x14ac:dyDescent="0.45">
      <c r="A59" s="1">
        <v>58</v>
      </c>
      <c r="B59" s="1" t="s">
        <v>59</v>
      </c>
      <c r="C59" s="1">
        <v>5437</v>
      </c>
      <c r="D59" s="1" t="s">
        <v>136</v>
      </c>
      <c r="E59" s="1" t="s">
        <v>8</v>
      </c>
      <c r="F59" s="2" t="s">
        <v>139</v>
      </c>
      <c r="G59" s="1" t="s">
        <v>138</v>
      </c>
    </row>
    <row r="60" spans="1:7" ht="63.75" x14ac:dyDescent="0.45">
      <c r="A60" s="1">
        <v>59</v>
      </c>
      <c r="B60" s="1" t="s">
        <v>59</v>
      </c>
      <c r="C60" s="1">
        <v>5438</v>
      </c>
      <c r="D60" s="1" t="s">
        <v>136</v>
      </c>
      <c r="E60" s="1" t="s">
        <v>8</v>
      </c>
      <c r="F60" s="2" t="s">
        <v>140</v>
      </c>
      <c r="G60" s="1" t="s">
        <v>138</v>
      </c>
    </row>
    <row r="61" spans="1:7" ht="63.75" x14ac:dyDescent="0.45">
      <c r="A61" s="1">
        <v>60</v>
      </c>
      <c r="B61" s="1" t="s">
        <v>59</v>
      </c>
      <c r="C61" s="1">
        <v>5439</v>
      </c>
      <c r="D61" s="1" t="s">
        <v>136</v>
      </c>
      <c r="E61" s="1" t="s">
        <v>8</v>
      </c>
      <c r="F61" s="2" t="s">
        <v>141</v>
      </c>
      <c r="G61" s="1" t="s">
        <v>138</v>
      </c>
    </row>
    <row r="62" spans="1:7" ht="63.75" x14ac:dyDescent="0.45">
      <c r="A62" s="1">
        <v>61</v>
      </c>
      <c r="B62" s="1" t="s">
        <v>59</v>
      </c>
      <c r="C62" s="1">
        <v>5440</v>
      </c>
      <c r="D62" s="1" t="s">
        <v>136</v>
      </c>
      <c r="E62" s="1" t="s">
        <v>8</v>
      </c>
      <c r="F62" s="2" t="s">
        <v>142</v>
      </c>
      <c r="G62" s="1" t="s">
        <v>138</v>
      </c>
    </row>
    <row r="63" spans="1:7" ht="63.75" x14ac:dyDescent="0.45">
      <c r="A63" s="1">
        <v>62</v>
      </c>
      <c r="B63" s="1" t="s">
        <v>59</v>
      </c>
      <c r="C63" s="1">
        <v>5441</v>
      </c>
      <c r="D63" s="1" t="s">
        <v>136</v>
      </c>
      <c r="E63" s="1" t="s">
        <v>8</v>
      </c>
      <c r="F63" s="2" t="s">
        <v>143</v>
      </c>
      <c r="G63" s="1" t="s">
        <v>138</v>
      </c>
    </row>
    <row r="64" spans="1:7" ht="63.75" x14ac:dyDescent="0.45">
      <c r="A64" s="1">
        <v>63</v>
      </c>
      <c r="B64" s="1" t="s">
        <v>59</v>
      </c>
      <c r="C64" s="1">
        <v>5442</v>
      </c>
      <c r="D64" s="1" t="s">
        <v>136</v>
      </c>
      <c r="E64" s="1" t="s">
        <v>8</v>
      </c>
      <c r="F64" s="2" t="s">
        <v>144</v>
      </c>
      <c r="G64" s="1" t="s">
        <v>138</v>
      </c>
    </row>
    <row r="65" spans="1:7" ht="63.75" x14ac:dyDescent="0.45">
      <c r="A65" s="1">
        <v>64</v>
      </c>
      <c r="B65" s="1" t="s">
        <v>59</v>
      </c>
      <c r="C65" s="1">
        <v>5443</v>
      </c>
      <c r="D65" s="1" t="s">
        <v>136</v>
      </c>
      <c r="E65" s="1" t="s">
        <v>8</v>
      </c>
      <c r="F65" s="2" t="s">
        <v>145</v>
      </c>
      <c r="G65" s="1" t="s">
        <v>138</v>
      </c>
    </row>
    <row r="66" spans="1:7" ht="63.75" x14ac:dyDescent="0.45">
      <c r="A66" s="1">
        <v>65</v>
      </c>
      <c r="B66" s="1" t="s">
        <v>59</v>
      </c>
      <c r="C66" s="1">
        <v>5444</v>
      </c>
      <c r="D66" s="1" t="s">
        <v>136</v>
      </c>
      <c r="E66" s="1" t="s">
        <v>8</v>
      </c>
      <c r="F66" s="2" t="s">
        <v>146</v>
      </c>
      <c r="G66" s="1" t="s">
        <v>138</v>
      </c>
    </row>
    <row r="67" spans="1:7" ht="63.75" x14ac:dyDescent="0.45">
      <c r="A67" s="1">
        <v>66</v>
      </c>
      <c r="B67" s="1" t="s">
        <v>59</v>
      </c>
      <c r="C67" s="1">
        <v>5445</v>
      </c>
      <c r="D67" s="1" t="s">
        <v>136</v>
      </c>
      <c r="E67" s="1" t="s">
        <v>8</v>
      </c>
      <c r="F67" s="2" t="s">
        <v>147</v>
      </c>
      <c r="G67" s="1" t="s">
        <v>138</v>
      </c>
    </row>
    <row r="68" spans="1:7" ht="63.75" x14ac:dyDescent="0.45">
      <c r="A68" s="1">
        <v>67</v>
      </c>
      <c r="B68" s="1" t="s">
        <v>59</v>
      </c>
      <c r="C68" s="1">
        <v>5446</v>
      </c>
      <c r="D68" s="1" t="s">
        <v>136</v>
      </c>
      <c r="E68" s="1" t="s">
        <v>8</v>
      </c>
      <c r="F68" s="2" t="s">
        <v>148</v>
      </c>
      <c r="G68" s="1" t="s">
        <v>138</v>
      </c>
    </row>
    <row r="69" spans="1:7" ht="63.75" x14ac:dyDescent="0.45">
      <c r="A69" s="1">
        <v>68</v>
      </c>
      <c r="B69" s="1" t="s">
        <v>59</v>
      </c>
      <c r="C69" s="1">
        <v>5447</v>
      </c>
      <c r="D69" s="1" t="s">
        <v>136</v>
      </c>
      <c r="E69" s="1" t="s">
        <v>8</v>
      </c>
      <c r="F69" s="2" t="s">
        <v>149</v>
      </c>
      <c r="G69" s="1" t="s">
        <v>138</v>
      </c>
    </row>
    <row r="70" spans="1:7" ht="63.75" x14ac:dyDescent="0.45">
      <c r="A70" s="1">
        <v>69</v>
      </c>
      <c r="B70" s="1" t="s">
        <v>59</v>
      </c>
      <c r="C70" s="1">
        <v>5448</v>
      </c>
      <c r="D70" s="1" t="s">
        <v>136</v>
      </c>
      <c r="E70" s="1" t="s">
        <v>8</v>
      </c>
      <c r="F70" s="2" t="s">
        <v>150</v>
      </c>
      <c r="G70" s="1" t="s">
        <v>138</v>
      </c>
    </row>
    <row r="71" spans="1:7" ht="63.75" x14ac:dyDescent="0.45">
      <c r="A71" s="1">
        <v>70</v>
      </c>
      <c r="B71" s="1" t="s">
        <v>59</v>
      </c>
      <c r="C71" s="1">
        <v>5485</v>
      </c>
      <c r="D71" s="1" t="s">
        <v>136</v>
      </c>
      <c r="E71" s="1" t="s">
        <v>8</v>
      </c>
      <c r="F71" s="2" t="s">
        <v>151</v>
      </c>
      <c r="G71" s="1" t="s">
        <v>152</v>
      </c>
    </row>
    <row r="72" spans="1:7" ht="63.75" x14ac:dyDescent="0.45">
      <c r="A72" s="1">
        <v>71</v>
      </c>
      <c r="B72" s="1" t="s">
        <v>59</v>
      </c>
      <c r="C72" s="1">
        <v>5486</v>
      </c>
      <c r="D72" s="1" t="s">
        <v>136</v>
      </c>
      <c r="E72" s="1" t="s">
        <v>8</v>
      </c>
      <c r="F72" s="2" t="s">
        <v>153</v>
      </c>
      <c r="G72" s="1" t="s">
        <v>152</v>
      </c>
    </row>
    <row r="73" spans="1:7" ht="63.75" x14ac:dyDescent="0.45">
      <c r="A73" s="1">
        <v>72</v>
      </c>
      <c r="B73" s="1" t="s">
        <v>59</v>
      </c>
      <c r="C73" s="1">
        <v>5487</v>
      </c>
      <c r="D73" s="1" t="s">
        <v>136</v>
      </c>
      <c r="E73" s="1" t="s">
        <v>8</v>
      </c>
      <c r="F73" s="2" t="s">
        <v>154</v>
      </c>
      <c r="G73" s="1" t="s">
        <v>152</v>
      </c>
    </row>
    <row r="74" spans="1:7" ht="51" x14ac:dyDescent="0.45">
      <c r="A74" s="1">
        <v>73</v>
      </c>
      <c r="B74" s="1" t="s">
        <v>59</v>
      </c>
      <c r="C74" s="1">
        <v>5585</v>
      </c>
      <c r="D74" s="1" t="s">
        <v>136</v>
      </c>
      <c r="E74" s="1" t="s">
        <v>8</v>
      </c>
      <c r="F74" s="2" t="s">
        <v>155</v>
      </c>
      <c r="G74" s="1" t="s">
        <v>156</v>
      </c>
    </row>
    <row r="75" spans="1:7" ht="51" x14ac:dyDescent="0.45">
      <c r="A75" s="1">
        <v>74</v>
      </c>
      <c r="B75" s="1" t="s">
        <v>59</v>
      </c>
      <c r="C75" s="1">
        <v>5586</v>
      </c>
      <c r="D75" s="1" t="s">
        <v>136</v>
      </c>
      <c r="E75" s="1" t="s">
        <v>8</v>
      </c>
      <c r="F75" s="2" t="s">
        <v>157</v>
      </c>
      <c r="G75" s="1" t="s">
        <v>156</v>
      </c>
    </row>
    <row r="76" spans="1:7" ht="89.25" x14ac:dyDescent="0.45">
      <c r="A76" s="1">
        <v>75</v>
      </c>
      <c r="B76" s="1" t="s">
        <v>59</v>
      </c>
      <c r="C76" s="1">
        <v>5587</v>
      </c>
      <c r="D76" s="1" t="s">
        <v>136</v>
      </c>
      <c r="E76" s="1" t="s">
        <v>8</v>
      </c>
      <c r="F76" s="2" t="s">
        <v>158</v>
      </c>
      <c r="G76" s="1" t="s">
        <v>159</v>
      </c>
    </row>
    <row r="77" spans="1:7" ht="51" x14ac:dyDescent="0.45">
      <c r="A77" s="1">
        <v>76</v>
      </c>
      <c r="B77" s="1" t="s">
        <v>59</v>
      </c>
      <c r="C77" s="1">
        <v>5642</v>
      </c>
      <c r="D77" s="1" t="s">
        <v>136</v>
      </c>
      <c r="E77" s="1" t="s">
        <v>10</v>
      </c>
      <c r="F77" s="2" t="s">
        <v>160</v>
      </c>
      <c r="G77" s="1" t="s">
        <v>161</v>
      </c>
    </row>
    <row r="78" spans="1:7" ht="51" x14ac:dyDescent="0.45">
      <c r="A78" s="1">
        <v>77</v>
      </c>
      <c r="B78" s="1" t="s">
        <v>59</v>
      </c>
      <c r="C78" s="1">
        <v>5647</v>
      </c>
      <c r="D78" s="1" t="s">
        <v>136</v>
      </c>
      <c r="E78" s="1" t="s">
        <v>8</v>
      </c>
      <c r="F78" s="2" t="s">
        <v>162</v>
      </c>
      <c r="G78" s="1" t="s">
        <v>163</v>
      </c>
    </row>
    <row r="79" spans="1:7" ht="51" x14ac:dyDescent="0.45">
      <c r="A79" s="1">
        <v>78</v>
      </c>
      <c r="B79" s="1" t="s">
        <v>59</v>
      </c>
      <c r="C79" s="1">
        <v>5648</v>
      </c>
      <c r="D79" s="1" t="s">
        <v>136</v>
      </c>
      <c r="E79" s="1" t="s">
        <v>8</v>
      </c>
      <c r="F79" s="2" t="s">
        <v>164</v>
      </c>
      <c r="G79" s="1" t="s">
        <v>163</v>
      </c>
    </row>
    <row r="80" spans="1:7" ht="51" x14ac:dyDescent="0.45">
      <c r="A80" s="1">
        <v>79</v>
      </c>
      <c r="B80" s="1" t="s">
        <v>59</v>
      </c>
      <c r="C80" s="1">
        <v>5649</v>
      </c>
      <c r="D80" s="1" t="s">
        <v>136</v>
      </c>
      <c r="E80" s="1" t="s">
        <v>8</v>
      </c>
      <c r="F80" s="2" t="s">
        <v>165</v>
      </c>
      <c r="G80" s="1" t="s">
        <v>163</v>
      </c>
    </row>
    <row r="81" spans="1:7" ht="51" x14ac:dyDescent="0.45">
      <c r="A81" s="1">
        <v>80</v>
      </c>
      <c r="B81" s="1" t="s">
        <v>59</v>
      </c>
      <c r="C81" s="1">
        <v>5650</v>
      </c>
      <c r="D81" s="1" t="s">
        <v>136</v>
      </c>
      <c r="E81" s="1" t="s">
        <v>8</v>
      </c>
      <c r="F81" s="2" t="s">
        <v>166</v>
      </c>
      <c r="G81" s="1" t="s">
        <v>163</v>
      </c>
    </row>
    <row r="82" spans="1:7" ht="51" x14ac:dyDescent="0.45">
      <c r="A82" s="1">
        <v>81</v>
      </c>
      <c r="B82" s="1" t="s">
        <v>59</v>
      </c>
      <c r="C82" s="1">
        <v>5651</v>
      </c>
      <c r="D82" s="1" t="s">
        <v>136</v>
      </c>
      <c r="E82" s="1" t="s">
        <v>8</v>
      </c>
      <c r="F82" s="2" t="s">
        <v>167</v>
      </c>
      <c r="G82" s="1" t="s">
        <v>163</v>
      </c>
    </row>
    <row r="83" spans="1:7" ht="51" x14ac:dyDescent="0.45">
      <c r="A83" s="1">
        <v>82</v>
      </c>
      <c r="B83" s="1" t="s">
        <v>59</v>
      </c>
      <c r="C83" s="1">
        <v>5677</v>
      </c>
      <c r="D83" s="1" t="s">
        <v>136</v>
      </c>
      <c r="E83" s="1" t="s">
        <v>8</v>
      </c>
      <c r="F83" s="2" t="s">
        <v>168</v>
      </c>
      <c r="G83" s="1" t="s">
        <v>169</v>
      </c>
    </row>
    <row r="84" spans="1:7" ht="51" x14ac:dyDescent="0.45">
      <c r="A84" s="1">
        <v>83</v>
      </c>
      <c r="B84" s="1" t="s">
        <v>59</v>
      </c>
      <c r="C84" s="1">
        <v>5678</v>
      </c>
      <c r="D84" s="1" t="s">
        <v>136</v>
      </c>
      <c r="E84" s="1" t="s">
        <v>8</v>
      </c>
      <c r="F84" s="2" t="s">
        <v>170</v>
      </c>
      <c r="G84" s="1" t="s">
        <v>169</v>
      </c>
    </row>
    <row r="85" spans="1:7" ht="51" x14ac:dyDescent="0.45">
      <c r="A85" s="1">
        <v>84</v>
      </c>
      <c r="B85" s="1" t="s">
        <v>59</v>
      </c>
      <c r="C85" s="1">
        <v>5679</v>
      </c>
      <c r="D85" s="1" t="s">
        <v>136</v>
      </c>
      <c r="E85" s="1" t="s">
        <v>8</v>
      </c>
      <c r="F85" s="2" t="s">
        <v>171</v>
      </c>
      <c r="G85" s="1" t="s">
        <v>169</v>
      </c>
    </row>
    <row r="86" spans="1:7" ht="51" x14ac:dyDescent="0.45">
      <c r="A86" s="1">
        <v>85</v>
      </c>
      <c r="B86" s="1" t="s">
        <v>59</v>
      </c>
      <c r="C86" s="1">
        <v>5734</v>
      </c>
      <c r="D86" s="1" t="s">
        <v>136</v>
      </c>
      <c r="E86" s="1" t="s">
        <v>8</v>
      </c>
      <c r="F86" s="2" t="s">
        <v>172</v>
      </c>
      <c r="G86" s="1" t="s">
        <v>173</v>
      </c>
    </row>
    <row r="87" spans="1:7" ht="51" x14ac:dyDescent="0.45">
      <c r="A87" s="1">
        <v>86</v>
      </c>
      <c r="B87" s="1" t="s">
        <v>59</v>
      </c>
      <c r="C87" s="1">
        <v>5735</v>
      </c>
      <c r="D87" s="1" t="s">
        <v>136</v>
      </c>
      <c r="E87" s="1" t="s">
        <v>8</v>
      </c>
      <c r="F87" s="2" t="s">
        <v>174</v>
      </c>
      <c r="G87" s="1" t="s">
        <v>173</v>
      </c>
    </row>
    <row r="88" spans="1:7" ht="51" x14ac:dyDescent="0.45">
      <c r="A88" s="1">
        <v>87</v>
      </c>
      <c r="B88" s="1" t="s">
        <v>59</v>
      </c>
      <c r="C88" s="1">
        <v>5736</v>
      </c>
      <c r="D88" s="1" t="s">
        <v>136</v>
      </c>
      <c r="E88" s="1" t="s">
        <v>8</v>
      </c>
      <c r="F88" s="2" t="s">
        <v>175</v>
      </c>
      <c r="G88" s="1" t="s">
        <v>173</v>
      </c>
    </row>
    <row r="89" spans="1:7" ht="51" x14ac:dyDescent="0.45">
      <c r="A89" s="1">
        <v>88</v>
      </c>
      <c r="B89" s="1" t="s">
        <v>59</v>
      </c>
      <c r="C89" s="1">
        <v>5737</v>
      </c>
      <c r="D89" s="1" t="s">
        <v>136</v>
      </c>
      <c r="E89" s="1" t="s">
        <v>8</v>
      </c>
      <c r="F89" s="2" t="s">
        <v>172</v>
      </c>
      <c r="G89" s="1" t="s">
        <v>173</v>
      </c>
    </row>
    <row r="90" spans="1:7" ht="38.25" x14ac:dyDescent="0.45">
      <c r="A90" s="1">
        <v>89</v>
      </c>
      <c r="B90" s="1" t="s">
        <v>59</v>
      </c>
      <c r="C90" s="1">
        <v>5757</v>
      </c>
      <c r="D90" s="1" t="s">
        <v>136</v>
      </c>
      <c r="E90" s="1" t="s">
        <v>8</v>
      </c>
      <c r="F90" s="2" t="s">
        <v>176</v>
      </c>
      <c r="G90" s="1" t="s">
        <v>177</v>
      </c>
    </row>
    <row r="91" spans="1:7" ht="89.25" x14ac:dyDescent="0.45">
      <c r="A91" s="1">
        <v>90</v>
      </c>
      <c r="B91" s="1" t="s">
        <v>59</v>
      </c>
      <c r="C91" s="1">
        <v>5779</v>
      </c>
      <c r="D91" s="1" t="s">
        <v>136</v>
      </c>
      <c r="E91" s="1" t="s">
        <v>10</v>
      </c>
      <c r="F91" s="2" t="s">
        <v>178</v>
      </c>
      <c r="G91" s="1" t="s">
        <v>179</v>
      </c>
    </row>
    <row r="92" spans="1:7" ht="89.25" x14ac:dyDescent="0.45">
      <c r="A92" s="1">
        <v>91</v>
      </c>
      <c r="B92" s="1" t="s">
        <v>59</v>
      </c>
      <c r="C92" s="1">
        <v>5780</v>
      </c>
      <c r="D92" s="1" t="s">
        <v>136</v>
      </c>
      <c r="E92" s="1" t="s">
        <v>10</v>
      </c>
      <c r="F92" s="2" t="s">
        <v>180</v>
      </c>
      <c r="G92" s="1" t="s">
        <v>179</v>
      </c>
    </row>
    <row r="93" spans="1:7" ht="89.25" x14ac:dyDescent="0.45">
      <c r="A93" s="1">
        <v>92</v>
      </c>
      <c r="B93" s="1" t="s">
        <v>59</v>
      </c>
      <c r="C93" s="1">
        <v>5781</v>
      </c>
      <c r="D93" s="1" t="s">
        <v>136</v>
      </c>
      <c r="E93" s="1" t="s">
        <v>10</v>
      </c>
      <c r="F93" s="2" t="s">
        <v>181</v>
      </c>
      <c r="G93" s="1" t="s">
        <v>179</v>
      </c>
    </row>
    <row r="94" spans="1:7" ht="89.25" x14ac:dyDescent="0.45">
      <c r="A94" s="1">
        <v>93</v>
      </c>
      <c r="B94" s="1" t="s">
        <v>59</v>
      </c>
      <c r="C94" s="1">
        <v>5782</v>
      </c>
      <c r="D94" s="1" t="s">
        <v>136</v>
      </c>
      <c r="E94" s="1" t="s">
        <v>10</v>
      </c>
      <c r="F94" s="2" t="s">
        <v>182</v>
      </c>
      <c r="G94" s="1" t="s">
        <v>179</v>
      </c>
    </row>
    <row r="95" spans="1:7" ht="89.25" x14ac:dyDescent="0.45">
      <c r="A95" s="1">
        <v>94</v>
      </c>
      <c r="B95" s="1" t="s">
        <v>59</v>
      </c>
      <c r="C95" s="1">
        <v>5783</v>
      </c>
      <c r="D95" s="1" t="s">
        <v>136</v>
      </c>
      <c r="E95" s="1" t="s">
        <v>10</v>
      </c>
      <c r="F95" s="2" t="s">
        <v>183</v>
      </c>
      <c r="G95" s="1" t="s">
        <v>179</v>
      </c>
    </row>
    <row r="96" spans="1:7" ht="38.25" x14ac:dyDescent="0.45">
      <c r="A96" s="1">
        <v>95</v>
      </c>
      <c r="B96" s="1" t="s">
        <v>59</v>
      </c>
      <c r="C96" s="1">
        <v>5819</v>
      </c>
      <c r="D96" s="1" t="s">
        <v>136</v>
      </c>
      <c r="E96" s="1" t="s">
        <v>8</v>
      </c>
      <c r="F96" s="2" t="s">
        <v>184</v>
      </c>
      <c r="G96" s="1" t="s">
        <v>185</v>
      </c>
    </row>
    <row r="97" spans="1:7" ht="63.75" x14ac:dyDescent="0.45">
      <c r="A97" s="1">
        <v>96</v>
      </c>
      <c r="B97" s="1" t="s">
        <v>59</v>
      </c>
      <c r="C97" s="1">
        <v>5847</v>
      </c>
      <c r="D97" s="1" t="s">
        <v>136</v>
      </c>
      <c r="E97" s="1" t="s">
        <v>8</v>
      </c>
      <c r="F97" s="2" t="s">
        <v>186</v>
      </c>
      <c r="G97" s="1" t="s">
        <v>187</v>
      </c>
    </row>
    <row r="98" spans="1:7" x14ac:dyDescent="0.45">
      <c r="A98" s="1">
        <v>97</v>
      </c>
      <c r="B98" s="1" t="s">
        <v>59</v>
      </c>
      <c r="C98" s="1">
        <v>6269</v>
      </c>
      <c r="D98" s="1" t="s">
        <v>188</v>
      </c>
      <c r="E98" s="1" t="s">
        <v>9</v>
      </c>
      <c r="F98" s="2" t="s">
        <v>189</v>
      </c>
      <c r="G98" s="1" t="s">
        <v>190</v>
      </c>
    </row>
    <row r="99" spans="1:7" x14ac:dyDescent="0.45">
      <c r="A99" s="1">
        <v>98</v>
      </c>
      <c r="B99" s="1" t="s">
        <v>59</v>
      </c>
      <c r="C99" s="1">
        <v>6270</v>
      </c>
      <c r="D99" s="1" t="s">
        <v>188</v>
      </c>
      <c r="E99" s="1" t="s">
        <v>9</v>
      </c>
      <c r="F99" s="2" t="s">
        <v>191</v>
      </c>
      <c r="G99" s="1" t="s">
        <v>190</v>
      </c>
    </row>
    <row r="100" spans="1:7" ht="25.5" x14ac:dyDescent="0.45">
      <c r="A100" s="1">
        <v>99</v>
      </c>
      <c r="B100" s="1" t="s">
        <v>59</v>
      </c>
      <c r="C100" s="1">
        <v>6271</v>
      </c>
      <c r="D100" s="1" t="s">
        <v>188</v>
      </c>
      <c r="E100" s="1" t="s">
        <v>9</v>
      </c>
      <c r="F100" s="2" t="s">
        <v>192</v>
      </c>
      <c r="G100" s="1" t="s">
        <v>193</v>
      </c>
    </row>
    <row r="101" spans="1:7" ht="25.5" x14ac:dyDescent="0.45">
      <c r="A101" s="1">
        <v>100</v>
      </c>
      <c r="B101" s="1" t="s">
        <v>59</v>
      </c>
      <c r="C101" s="1">
        <v>6272</v>
      </c>
      <c r="D101" s="1" t="s">
        <v>188</v>
      </c>
      <c r="E101" s="1" t="s">
        <v>9</v>
      </c>
      <c r="F101" s="2" t="s">
        <v>194</v>
      </c>
      <c r="G101" s="1" t="s">
        <v>193</v>
      </c>
    </row>
    <row r="102" spans="1:7" ht="38.25" x14ac:dyDescent="0.45">
      <c r="A102" s="1">
        <v>101</v>
      </c>
      <c r="B102" s="1" t="s">
        <v>59</v>
      </c>
      <c r="C102" s="1">
        <v>6317</v>
      </c>
      <c r="D102" s="1" t="s">
        <v>188</v>
      </c>
      <c r="E102" s="1" t="s">
        <v>8</v>
      </c>
      <c r="F102" s="2" t="s">
        <v>195</v>
      </c>
      <c r="G102" s="1" t="s">
        <v>196</v>
      </c>
    </row>
    <row r="103" spans="1:7" ht="38.25" x14ac:dyDescent="0.45">
      <c r="A103" s="1">
        <v>102</v>
      </c>
      <c r="B103" s="1" t="s">
        <v>59</v>
      </c>
      <c r="C103" s="1">
        <v>6318</v>
      </c>
      <c r="D103" s="1" t="s">
        <v>188</v>
      </c>
      <c r="E103" s="1" t="s">
        <v>8</v>
      </c>
      <c r="F103" s="2" t="s">
        <v>197</v>
      </c>
      <c r="G103" s="1" t="s">
        <v>196</v>
      </c>
    </row>
    <row r="104" spans="1:7" ht="51" x14ac:dyDescent="0.45">
      <c r="A104" s="1">
        <v>103</v>
      </c>
      <c r="B104" s="1" t="s">
        <v>59</v>
      </c>
      <c r="C104" s="1">
        <v>6422</v>
      </c>
      <c r="D104" s="1" t="s">
        <v>198</v>
      </c>
      <c r="E104" s="1" t="s">
        <v>8</v>
      </c>
      <c r="F104" s="2" t="s">
        <v>199</v>
      </c>
      <c r="G104" s="1" t="s">
        <v>200</v>
      </c>
    </row>
    <row r="105" spans="1:7" x14ac:dyDescent="0.45">
      <c r="A105" s="1">
        <v>104</v>
      </c>
      <c r="B105" s="1" t="s">
        <v>59</v>
      </c>
      <c r="C105" s="1">
        <v>8121</v>
      </c>
      <c r="D105" s="1" t="s">
        <v>201</v>
      </c>
      <c r="E105" s="1" t="s">
        <v>8</v>
      </c>
      <c r="F105" s="2" t="s">
        <v>202</v>
      </c>
      <c r="G105" s="1" t="s">
        <v>203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zoomScaleNormal="100" workbookViewId="0">
      <pane ySplit="1" topLeftCell="A2" activePane="bottomLeft" state="frozen"/>
      <selection pane="bottomLeft" activeCell="B1" sqref="A1:XFD1"/>
    </sheetView>
  </sheetViews>
  <sheetFormatPr defaultColWidth="8.6640625" defaultRowHeight="14.25" x14ac:dyDescent="0.45"/>
  <cols>
    <col min="1" max="1" width="5" customWidth="1"/>
    <col min="2" max="2" width="19.73046875" customWidth="1"/>
    <col min="3" max="3" width="19.46484375" customWidth="1"/>
    <col min="4" max="4" width="16" customWidth="1"/>
    <col min="5" max="5" width="24" customWidth="1"/>
    <col min="6" max="6" width="48" customWidth="1"/>
    <col min="7" max="7" width="58" customWidth="1"/>
  </cols>
  <sheetData>
    <row r="1" spans="1:7" x14ac:dyDescent="0.45">
      <c r="A1" s="3" t="s">
        <v>28</v>
      </c>
      <c r="B1" s="3" t="s">
        <v>27</v>
      </c>
      <c r="C1" s="3" t="s">
        <v>304</v>
      </c>
      <c r="D1" s="3" t="s">
        <v>29</v>
      </c>
      <c r="E1" s="3" t="s">
        <v>5</v>
      </c>
      <c r="F1" s="3" t="s">
        <v>30</v>
      </c>
      <c r="G1" s="3" t="s">
        <v>31</v>
      </c>
    </row>
    <row r="2" spans="1:7" ht="25.5" x14ac:dyDescent="0.45">
      <c r="A2" s="1">
        <v>1</v>
      </c>
      <c r="B2" s="1" t="s">
        <v>32</v>
      </c>
      <c r="C2" s="1">
        <v>681</v>
      </c>
      <c r="D2" s="1" t="s">
        <v>49</v>
      </c>
      <c r="E2" s="1" t="s">
        <v>17</v>
      </c>
      <c r="F2" s="2" t="s">
        <v>204</v>
      </c>
      <c r="G2" s="1" t="s">
        <v>205</v>
      </c>
    </row>
    <row r="3" spans="1:7" ht="38.25" x14ac:dyDescent="0.45">
      <c r="A3" s="1">
        <v>2</v>
      </c>
      <c r="B3" s="1" t="s">
        <v>59</v>
      </c>
      <c r="C3" s="1">
        <v>1576</v>
      </c>
      <c r="D3" s="1" t="s">
        <v>206</v>
      </c>
      <c r="E3" s="1" t="s">
        <v>16</v>
      </c>
      <c r="F3" s="2" t="s">
        <v>207</v>
      </c>
      <c r="G3" s="1" t="s">
        <v>208</v>
      </c>
    </row>
    <row r="4" spans="1:7" ht="38.25" x14ac:dyDescent="0.45">
      <c r="A4" s="1">
        <v>3</v>
      </c>
      <c r="B4" s="1" t="s">
        <v>59</v>
      </c>
      <c r="C4" s="1">
        <v>1577</v>
      </c>
      <c r="D4" s="1" t="s">
        <v>206</v>
      </c>
      <c r="E4" s="1" t="s">
        <v>16</v>
      </c>
      <c r="F4" s="2" t="s">
        <v>209</v>
      </c>
      <c r="G4" s="1" t="s">
        <v>208</v>
      </c>
    </row>
    <row r="5" spans="1:7" ht="38.25" x14ac:dyDescent="0.45">
      <c r="A5" s="1">
        <v>4</v>
      </c>
      <c r="B5" s="1" t="s">
        <v>59</v>
      </c>
      <c r="C5" s="1">
        <v>1578</v>
      </c>
      <c r="D5" s="1" t="s">
        <v>206</v>
      </c>
      <c r="E5" s="1" t="s">
        <v>16</v>
      </c>
      <c r="F5" s="2" t="s">
        <v>210</v>
      </c>
      <c r="G5" s="1" t="s">
        <v>211</v>
      </c>
    </row>
    <row r="6" spans="1:7" ht="38.25" x14ac:dyDescent="0.45">
      <c r="A6" s="1">
        <v>5</v>
      </c>
      <c r="B6" s="1" t="s">
        <v>59</v>
      </c>
      <c r="C6" s="1">
        <v>1579</v>
      </c>
      <c r="D6" s="1" t="s">
        <v>206</v>
      </c>
      <c r="E6" s="1" t="s">
        <v>16</v>
      </c>
      <c r="F6" s="2" t="s">
        <v>212</v>
      </c>
      <c r="G6" s="1" t="s">
        <v>211</v>
      </c>
    </row>
    <row r="7" spans="1:7" ht="51" x14ac:dyDescent="0.45">
      <c r="A7" s="1">
        <v>6</v>
      </c>
      <c r="B7" s="1" t="s">
        <v>59</v>
      </c>
      <c r="C7" s="1">
        <v>1790</v>
      </c>
      <c r="D7" s="1" t="s">
        <v>213</v>
      </c>
      <c r="E7" s="1" t="s">
        <v>16</v>
      </c>
      <c r="F7" s="2" t="s">
        <v>214</v>
      </c>
      <c r="G7" s="1" t="s">
        <v>215</v>
      </c>
    </row>
    <row r="8" spans="1:7" ht="25.5" x14ac:dyDescent="0.45">
      <c r="A8" s="1">
        <v>7</v>
      </c>
      <c r="B8" s="1" t="s">
        <v>59</v>
      </c>
      <c r="C8" s="1">
        <v>6542</v>
      </c>
      <c r="D8" s="1" t="s">
        <v>216</v>
      </c>
      <c r="E8" s="1" t="s">
        <v>16</v>
      </c>
      <c r="F8" s="2" t="s">
        <v>217</v>
      </c>
      <c r="G8" s="1" t="s">
        <v>218</v>
      </c>
    </row>
    <row r="9" spans="1:7" x14ac:dyDescent="0.45">
      <c r="A9" s="1">
        <v>8</v>
      </c>
      <c r="B9" s="1" t="s">
        <v>59</v>
      </c>
      <c r="C9" s="1">
        <v>7092</v>
      </c>
      <c r="D9" s="1" t="s">
        <v>219</v>
      </c>
      <c r="E9" s="1" t="s">
        <v>16</v>
      </c>
      <c r="F9" s="2" t="s">
        <v>220</v>
      </c>
      <c r="G9" s="1" t="s">
        <v>221</v>
      </c>
    </row>
    <row r="10" spans="1:7" ht="38.25" x14ac:dyDescent="0.45">
      <c r="A10" s="1">
        <v>9</v>
      </c>
      <c r="B10" s="1" t="s">
        <v>59</v>
      </c>
      <c r="C10" s="1">
        <v>7502</v>
      </c>
      <c r="D10" s="1" t="s">
        <v>222</v>
      </c>
      <c r="E10" s="1" t="s">
        <v>16</v>
      </c>
      <c r="F10" s="2" t="s">
        <v>223</v>
      </c>
      <c r="G10" s="1" t="s">
        <v>224</v>
      </c>
    </row>
    <row r="11" spans="1:7" ht="38.25" x14ac:dyDescent="0.45">
      <c r="A11" s="1">
        <v>10</v>
      </c>
      <c r="B11" s="1" t="s">
        <v>59</v>
      </c>
      <c r="C11" s="1">
        <v>7503</v>
      </c>
      <c r="D11" s="1" t="s">
        <v>222</v>
      </c>
      <c r="E11" s="1" t="s">
        <v>16</v>
      </c>
      <c r="F11" s="2" t="s">
        <v>225</v>
      </c>
      <c r="G11" s="1" t="s">
        <v>224</v>
      </c>
    </row>
    <row r="12" spans="1:7" ht="51" x14ac:dyDescent="0.45">
      <c r="A12" s="1">
        <v>11</v>
      </c>
      <c r="B12" s="1" t="s">
        <v>59</v>
      </c>
      <c r="C12" s="1">
        <v>7585</v>
      </c>
      <c r="D12" s="1" t="s">
        <v>226</v>
      </c>
      <c r="E12" s="1" t="s">
        <v>17</v>
      </c>
      <c r="F12" s="2" t="s">
        <v>227</v>
      </c>
      <c r="G12" s="1" t="s">
        <v>228</v>
      </c>
    </row>
    <row r="13" spans="1:7" ht="76.5" x14ac:dyDescent="0.45">
      <c r="A13" s="1">
        <v>12</v>
      </c>
      <c r="B13" s="1" t="s">
        <v>59</v>
      </c>
      <c r="C13" s="1">
        <v>8594</v>
      </c>
      <c r="D13" s="1" t="s">
        <v>229</v>
      </c>
      <c r="E13" s="1" t="s">
        <v>17</v>
      </c>
      <c r="F13" s="2" t="s">
        <v>230</v>
      </c>
      <c r="G13" s="1" t="s">
        <v>231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zoomScaleNormal="100" workbookViewId="0">
      <pane ySplit="1" topLeftCell="A2" activePane="bottomLeft" state="frozen"/>
      <selection pane="bottomLeft" sqref="A1:XFD1"/>
    </sheetView>
  </sheetViews>
  <sheetFormatPr defaultColWidth="8.6640625" defaultRowHeight="14.25" x14ac:dyDescent="0.45"/>
  <cols>
    <col min="1" max="1" width="23.19921875" customWidth="1"/>
    <col min="2" max="3" width="7" customWidth="1"/>
    <col min="4" max="4" width="16" customWidth="1"/>
    <col min="5" max="5" width="24" customWidth="1"/>
    <col min="6" max="6" width="48" customWidth="1"/>
    <col min="7" max="7" width="58" customWidth="1"/>
  </cols>
  <sheetData>
    <row r="1" spans="1:7" x14ac:dyDescent="0.45">
      <c r="A1" s="3" t="s">
        <v>28</v>
      </c>
      <c r="B1" s="3" t="s">
        <v>27</v>
      </c>
      <c r="C1" s="3" t="s">
        <v>304</v>
      </c>
      <c r="D1" s="3" t="s">
        <v>29</v>
      </c>
      <c r="E1" s="3" t="s">
        <v>5</v>
      </c>
      <c r="F1" s="3" t="s">
        <v>30</v>
      </c>
      <c r="G1" s="3" t="s">
        <v>31</v>
      </c>
    </row>
    <row r="2" spans="1:7" ht="25.5" x14ac:dyDescent="0.45">
      <c r="A2" s="1">
        <v>1</v>
      </c>
      <c r="B2" s="1" t="s">
        <v>59</v>
      </c>
      <c r="C2" s="1">
        <v>77</v>
      </c>
      <c r="D2" s="1" t="s">
        <v>232</v>
      </c>
      <c r="E2" s="1" t="s">
        <v>19</v>
      </c>
      <c r="F2" s="2" t="s">
        <v>233</v>
      </c>
      <c r="G2" s="1" t="s">
        <v>234</v>
      </c>
    </row>
    <row r="3" spans="1:7" x14ac:dyDescent="0.45">
      <c r="A3" s="1">
        <v>2</v>
      </c>
      <c r="B3" s="1" t="s">
        <v>59</v>
      </c>
      <c r="C3" s="1">
        <v>79</v>
      </c>
      <c r="D3" s="1" t="s">
        <v>232</v>
      </c>
      <c r="E3" s="1" t="s">
        <v>19</v>
      </c>
      <c r="F3" s="2" t="s">
        <v>235</v>
      </c>
      <c r="G3" s="1" t="s">
        <v>236</v>
      </c>
    </row>
    <row r="4" spans="1:7" ht="38.25" x14ac:dyDescent="0.45">
      <c r="A4" s="1">
        <v>3</v>
      </c>
      <c r="B4" s="1" t="s">
        <v>59</v>
      </c>
      <c r="C4" s="1">
        <v>99</v>
      </c>
      <c r="D4" s="1" t="s">
        <v>232</v>
      </c>
      <c r="E4" s="1" t="s">
        <v>19</v>
      </c>
      <c r="F4" s="2" t="s">
        <v>237</v>
      </c>
      <c r="G4" s="1" t="s">
        <v>238</v>
      </c>
    </row>
    <row r="5" spans="1:7" x14ac:dyDescent="0.45">
      <c r="A5" s="1">
        <v>4</v>
      </c>
      <c r="B5" s="1" t="s">
        <v>59</v>
      </c>
      <c r="C5" s="1">
        <v>228</v>
      </c>
      <c r="D5" s="1" t="s">
        <v>239</v>
      </c>
      <c r="E5" s="1" t="s">
        <v>19</v>
      </c>
      <c r="F5" s="2" t="s">
        <v>240</v>
      </c>
      <c r="G5" s="1" t="s">
        <v>241</v>
      </c>
    </row>
    <row r="6" spans="1:7" ht="25.5" x14ac:dyDescent="0.45">
      <c r="A6" s="1">
        <v>5</v>
      </c>
      <c r="B6" s="1" t="s">
        <v>59</v>
      </c>
      <c r="C6" s="1">
        <v>370</v>
      </c>
      <c r="D6" s="1" t="s">
        <v>60</v>
      </c>
      <c r="E6" s="1" t="s">
        <v>19</v>
      </c>
      <c r="F6" s="2" t="s">
        <v>242</v>
      </c>
      <c r="G6" s="1" t="s">
        <v>243</v>
      </c>
    </row>
    <row r="7" spans="1:7" x14ac:dyDescent="0.45">
      <c r="A7" s="1">
        <v>6</v>
      </c>
      <c r="B7" s="1" t="s">
        <v>59</v>
      </c>
      <c r="C7" s="1">
        <v>1851</v>
      </c>
      <c r="D7" s="1" t="s">
        <v>244</v>
      </c>
      <c r="E7" s="1" t="s">
        <v>20</v>
      </c>
      <c r="F7" s="2" t="s">
        <v>245</v>
      </c>
      <c r="G7" s="1" t="s">
        <v>246</v>
      </c>
    </row>
    <row r="8" spans="1:7" ht="25.5" x14ac:dyDescent="0.45">
      <c r="A8" s="1">
        <v>7</v>
      </c>
      <c r="B8" s="1" t="s">
        <v>59</v>
      </c>
      <c r="C8" s="1">
        <v>1890</v>
      </c>
      <c r="D8" s="1" t="s">
        <v>244</v>
      </c>
      <c r="E8" s="1" t="s">
        <v>20</v>
      </c>
      <c r="F8" s="2" t="s">
        <v>247</v>
      </c>
      <c r="G8" s="1" t="s">
        <v>248</v>
      </c>
    </row>
    <row r="9" spans="1:7" ht="25.5" x14ac:dyDescent="0.45">
      <c r="A9" s="1">
        <v>8</v>
      </c>
      <c r="B9" s="1" t="s">
        <v>59</v>
      </c>
      <c r="C9" s="1">
        <v>1891</v>
      </c>
      <c r="D9" s="1" t="s">
        <v>244</v>
      </c>
      <c r="E9" s="1" t="s">
        <v>20</v>
      </c>
      <c r="F9" s="2" t="s">
        <v>249</v>
      </c>
      <c r="G9" s="1" t="s">
        <v>248</v>
      </c>
    </row>
    <row r="10" spans="1:7" ht="63.75" x14ac:dyDescent="0.45">
      <c r="A10" s="1">
        <v>9</v>
      </c>
      <c r="B10" s="1" t="s">
        <v>59</v>
      </c>
      <c r="C10" s="1">
        <v>1986</v>
      </c>
      <c r="D10" s="1" t="s">
        <v>250</v>
      </c>
      <c r="E10" s="1" t="s">
        <v>21</v>
      </c>
      <c r="F10" s="2" t="s">
        <v>251</v>
      </c>
      <c r="G10" s="1" t="s">
        <v>252</v>
      </c>
    </row>
    <row r="11" spans="1:7" ht="63.75" x14ac:dyDescent="0.45">
      <c r="A11" s="1">
        <v>10</v>
      </c>
      <c r="B11" s="1" t="s">
        <v>59</v>
      </c>
      <c r="C11" s="1">
        <v>1987</v>
      </c>
      <c r="D11" s="1" t="s">
        <v>250</v>
      </c>
      <c r="E11" s="1" t="s">
        <v>21</v>
      </c>
      <c r="F11" s="2" t="s">
        <v>253</v>
      </c>
      <c r="G11" s="1" t="s">
        <v>252</v>
      </c>
    </row>
    <row r="12" spans="1:7" ht="25.5" x14ac:dyDescent="0.45">
      <c r="A12" s="1">
        <v>11</v>
      </c>
      <c r="B12" s="1" t="s">
        <v>59</v>
      </c>
      <c r="C12" s="1">
        <v>2418</v>
      </c>
      <c r="D12" s="1" t="s">
        <v>96</v>
      </c>
      <c r="E12" s="1" t="s">
        <v>20</v>
      </c>
      <c r="F12" s="2" t="s">
        <v>254</v>
      </c>
      <c r="G12" s="1" t="s">
        <v>255</v>
      </c>
    </row>
    <row r="13" spans="1:7" ht="63.75" x14ac:dyDescent="0.45">
      <c r="A13" s="1">
        <v>12</v>
      </c>
      <c r="B13" s="1" t="s">
        <v>59</v>
      </c>
      <c r="C13" s="1">
        <v>2934</v>
      </c>
      <c r="D13" s="1" t="s">
        <v>256</v>
      </c>
      <c r="E13" s="1" t="s">
        <v>18</v>
      </c>
      <c r="F13" s="2" t="s">
        <v>257</v>
      </c>
      <c r="G13" s="1" t="s">
        <v>258</v>
      </c>
    </row>
    <row r="14" spans="1:7" ht="51" x14ac:dyDescent="0.45">
      <c r="A14" s="1">
        <v>13</v>
      </c>
      <c r="B14" s="1" t="s">
        <v>59</v>
      </c>
      <c r="C14" s="1">
        <v>2936</v>
      </c>
      <c r="D14" s="1" t="s">
        <v>256</v>
      </c>
      <c r="E14" s="1" t="s">
        <v>18</v>
      </c>
      <c r="F14" s="2" t="s">
        <v>259</v>
      </c>
      <c r="G14" s="1" t="s">
        <v>260</v>
      </c>
    </row>
    <row r="15" spans="1:7" ht="25.5" x14ac:dyDescent="0.45">
      <c r="A15" s="1">
        <v>14</v>
      </c>
      <c r="B15" s="1" t="s">
        <v>59</v>
      </c>
      <c r="C15" s="1">
        <v>2984</v>
      </c>
      <c r="D15" s="1" t="s">
        <v>256</v>
      </c>
      <c r="E15" s="1" t="s">
        <v>18</v>
      </c>
      <c r="F15" s="2" t="s">
        <v>261</v>
      </c>
      <c r="G15" s="1" t="s">
        <v>262</v>
      </c>
    </row>
    <row r="16" spans="1:7" ht="25.5" x14ac:dyDescent="0.45">
      <c r="A16" s="1">
        <v>15</v>
      </c>
      <c r="B16" s="1" t="s">
        <v>59</v>
      </c>
      <c r="C16" s="1">
        <v>2985</v>
      </c>
      <c r="D16" s="1" t="s">
        <v>256</v>
      </c>
      <c r="E16" s="1" t="s">
        <v>18</v>
      </c>
      <c r="F16" s="2" t="s">
        <v>263</v>
      </c>
      <c r="G16" s="1" t="s">
        <v>262</v>
      </c>
    </row>
    <row r="17" spans="1:7" ht="25.5" x14ac:dyDescent="0.45">
      <c r="A17" s="1">
        <v>16</v>
      </c>
      <c r="B17" s="1" t="s">
        <v>59</v>
      </c>
      <c r="C17" s="1">
        <v>3000</v>
      </c>
      <c r="D17" s="1" t="s">
        <v>256</v>
      </c>
      <c r="E17" s="1" t="s">
        <v>18</v>
      </c>
      <c r="F17" s="2" t="s">
        <v>264</v>
      </c>
      <c r="G17" s="1" t="s">
        <v>265</v>
      </c>
    </row>
    <row r="18" spans="1:7" ht="25.5" x14ac:dyDescent="0.45">
      <c r="A18" s="1">
        <v>17</v>
      </c>
      <c r="B18" s="1" t="s">
        <v>59</v>
      </c>
      <c r="C18" s="1">
        <v>3000</v>
      </c>
      <c r="D18" s="1" t="s">
        <v>256</v>
      </c>
      <c r="E18" s="1" t="s">
        <v>18</v>
      </c>
      <c r="F18" s="2" t="s">
        <v>264</v>
      </c>
      <c r="G18" s="1" t="s">
        <v>265</v>
      </c>
    </row>
    <row r="19" spans="1:7" ht="38.25" x14ac:dyDescent="0.45">
      <c r="A19" s="1">
        <v>18</v>
      </c>
      <c r="B19" s="1" t="s">
        <v>59</v>
      </c>
      <c r="C19" s="1">
        <v>3888</v>
      </c>
      <c r="D19" s="1" t="s">
        <v>266</v>
      </c>
      <c r="E19" s="1" t="s">
        <v>18</v>
      </c>
      <c r="F19" s="2" t="s">
        <v>267</v>
      </c>
      <c r="G19" s="1" t="s">
        <v>268</v>
      </c>
    </row>
    <row r="20" spans="1:7" ht="25.5" x14ac:dyDescent="0.45">
      <c r="A20" s="1">
        <v>19</v>
      </c>
      <c r="B20" s="1" t="s">
        <v>59</v>
      </c>
      <c r="C20" s="1">
        <v>4076</v>
      </c>
      <c r="D20" s="1" t="s">
        <v>269</v>
      </c>
      <c r="E20" s="1" t="s">
        <v>18</v>
      </c>
      <c r="F20" s="2" t="s">
        <v>270</v>
      </c>
      <c r="G20" s="1" t="s">
        <v>271</v>
      </c>
    </row>
    <row r="21" spans="1:7" ht="63.75" x14ac:dyDescent="0.45">
      <c r="A21" s="1">
        <v>20</v>
      </c>
      <c r="B21" s="1" t="s">
        <v>59</v>
      </c>
      <c r="C21" s="1">
        <v>4297</v>
      </c>
      <c r="D21" s="1" t="s">
        <v>272</v>
      </c>
      <c r="E21" s="1" t="s">
        <v>19</v>
      </c>
      <c r="F21" s="2" t="s">
        <v>273</v>
      </c>
      <c r="G21" s="1" t="s">
        <v>274</v>
      </c>
    </row>
    <row r="22" spans="1:7" ht="89.25" x14ac:dyDescent="0.45">
      <c r="A22" s="1">
        <v>21</v>
      </c>
      <c r="B22" s="1" t="s">
        <v>59</v>
      </c>
      <c r="C22" s="1">
        <v>5835</v>
      </c>
      <c r="D22" s="1" t="s">
        <v>136</v>
      </c>
      <c r="E22" s="1" t="s">
        <v>22</v>
      </c>
      <c r="F22" s="2" t="s">
        <v>275</v>
      </c>
      <c r="G22" s="1" t="s">
        <v>276</v>
      </c>
    </row>
    <row r="23" spans="1:7" ht="89.25" x14ac:dyDescent="0.45">
      <c r="A23" s="1">
        <v>22</v>
      </c>
      <c r="B23" s="1" t="s">
        <v>59</v>
      </c>
      <c r="C23" s="1">
        <v>5848</v>
      </c>
      <c r="D23" s="1" t="s">
        <v>136</v>
      </c>
      <c r="E23" s="1" t="s">
        <v>22</v>
      </c>
      <c r="F23" s="2" t="s">
        <v>277</v>
      </c>
      <c r="G23" s="1" t="s">
        <v>278</v>
      </c>
    </row>
    <row r="24" spans="1:7" ht="25.5" x14ac:dyDescent="0.45">
      <c r="A24" s="1">
        <v>23</v>
      </c>
      <c r="B24" s="1" t="s">
        <v>59</v>
      </c>
      <c r="C24" s="1">
        <v>7067</v>
      </c>
      <c r="D24" s="1" t="s">
        <v>279</v>
      </c>
      <c r="E24" s="1" t="s">
        <v>18</v>
      </c>
      <c r="F24" s="2" t="s">
        <v>280</v>
      </c>
      <c r="G24" s="1" t="s">
        <v>281</v>
      </c>
    </row>
    <row r="25" spans="1:7" ht="38.25" x14ac:dyDescent="0.45">
      <c r="A25" s="1">
        <v>24</v>
      </c>
      <c r="B25" s="1" t="s">
        <v>59</v>
      </c>
      <c r="C25" s="1">
        <v>7128</v>
      </c>
      <c r="D25" s="1" t="s">
        <v>219</v>
      </c>
      <c r="E25" s="1" t="s">
        <v>18</v>
      </c>
      <c r="F25" s="2" t="s">
        <v>282</v>
      </c>
      <c r="G25" s="1" t="s">
        <v>283</v>
      </c>
    </row>
    <row r="26" spans="1:7" ht="25.5" x14ac:dyDescent="0.45">
      <c r="A26" s="1">
        <v>25</v>
      </c>
      <c r="B26" s="1" t="s">
        <v>59</v>
      </c>
      <c r="C26" s="1">
        <v>7519</v>
      </c>
      <c r="D26" s="1" t="s">
        <v>284</v>
      </c>
      <c r="E26" s="1" t="s">
        <v>23</v>
      </c>
      <c r="F26" s="2" t="s">
        <v>285</v>
      </c>
      <c r="G26" s="1" t="s">
        <v>286</v>
      </c>
    </row>
    <row r="27" spans="1:7" ht="38.25" x14ac:dyDescent="0.45">
      <c r="A27" s="1">
        <v>26</v>
      </c>
      <c r="B27" s="1" t="s">
        <v>59</v>
      </c>
      <c r="C27" s="1">
        <v>8457</v>
      </c>
      <c r="D27" s="1" t="s">
        <v>287</v>
      </c>
      <c r="E27" s="1" t="s">
        <v>20</v>
      </c>
      <c r="F27" s="2" t="s">
        <v>288</v>
      </c>
      <c r="G27" s="1" t="s">
        <v>289</v>
      </c>
    </row>
    <row r="28" spans="1:7" ht="38.25" x14ac:dyDescent="0.45">
      <c r="A28" s="1">
        <v>27</v>
      </c>
      <c r="B28" s="1" t="s">
        <v>59</v>
      </c>
      <c r="C28" s="1">
        <v>8458</v>
      </c>
      <c r="D28" s="1" t="s">
        <v>287</v>
      </c>
      <c r="E28" s="1" t="s">
        <v>20</v>
      </c>
      <c r="F28" s="2" t="s">
        <v>290</v>
      </c>
      <c r="G28" s="1" t="s">
        <v>289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zoomScaleNormal="100" workbookViewId="0">
      <pane ySplit="1" topLeftCell="A2" activePane="bottomLeft" state="frozen"/>
      <selection pane="bottomLeft" sqref="A1:XFD1"/>
    </sheetView>
  </sheetViews>
  <sheetFormatPr defaultColWidth="8.6640625" defaultRowHeight="14.25" x14ac:dyDescent="0.45"/>
  <cols>
    <col min="1" max="1" width="5" customWidth="1"/>
    <col min="2" max="3" width="7" customWidth="1"/>
    <col min="4" max="4" width="16" customWidth="1"/>
    <col min="5" max="5" width="24" customWidth="1"/>
    <col min="6" max="6" width="48" customWidth="1"/>
    <col min="7" max="7" width="58" customWidth="1"/>
  </cols>
  <sheetData>
    <row r="1" spans="1:7" x14ac:dyDescent="0.45">
      <c r="A1" s="3" t="s">
        <v>28</v>
      </c>
      <c r="B1" s="3" t="s">
        <v>27</v>
      </c>
      <c r="C1" s="3" t="s">
        <v>304</v>
      </c>
      <c r="D1" s="3" t="s">
        <v>29</v>
      </c>
      <c r="E1" s="3" t="s">
        <v>5</v>
      </c>
      <c r="F1" s="3" t="s">
        <v>30</v>
      </c>
      <c r="G1" s="3" t="s">
        <v>31</v>
      </c>
    </row>
    <row r="2" spans="1:7" ht="25.5" x14ac:dyDescent="0.45">
      <c r="A2" s="1">
        <v>1</v>
      </c>
      <c r="B2" s="1" t="s">
        <v>32</v>
      </c>
      <c r="C2" s="1">
        <v>998</v>
      </c>
      <c r="D2" s="1" t="s">
        <v>291</v>
      </c>
      <c r="E2" s="1" t="s">
        <v>24</v>
      </c>
      <c r="F2" s="2" t="s">
        <v>292</v>
      </c>
      <c r="G2" s="1" t="s">
        <v>293</v>
      </c>
    </row>
    <row r="3" spans="1:7" ht="25.5" x14ac:dyDescent="0.45">
      <c r="A3" s="1">
        <v>2</v>
      </c>
      <c r="B3" s="1" t="s">
        <v>59</v>
      </c>
      <c r="C3" s="1">
        <v>410</v>
      </c>
      <c r="D3" s="1" t="s">
        <v>60</v>
      </c>
      <c r="E3" s="1" t="s">
        <v>24</v>
      </c>
      <c r="F3" s="2" t="s">
        <v>294</v>
      </c>
      <c r="G3" s="1" t="s">
        <v>295</v>
      </c>
    </row>
    <row r="4" spans="1:7" ht="38.25" x14ac:dyDescent="0.45">
      <c r="A4" s="1">
        <v>3</v>
      </c>
      <c r="B4" s="1" t="s">
        <v>59</v>
      </c>
      <c r="C4" s="1">
        <v>3738</v>
      </c>
      <c r="D4" s="1" t="s">
        <v>115</v>
      </c>
      <c r="E4" s="1" t="s">
        <v>26</v>
      </c>
      <c r="F4" s="2" t="s">
        <v>296</v>
      </c>
      <c r="G4" s="1" t="s">
        <v>297</v>
      </c>
    </row>
    <row r="5" spans="1:7" ht="38.25" x14ac:dyDescent="0.45">
      <c r="A5" s="1">
        <v>4</v>
      </c>
      <c r="B5" s="1" t="s">
        <v>59</v>
      </c>
      <c r="C5" s="1">
        <v>3739</v>
      </c>
      <c r="D5" s="1" t="s">
        <v>115</v>
      </c>
      <c r="E5" s="1" t="s">
        <v>26</v>
      </c>
      <c r="F5" s="2" t="s">
        <v>298</v>
      </c>
      <c r="G5" s="1" t="s">
        <v>297</v>
      </c>
    </row>
    <row r="6" spans="1:7" x14ac:dyDescent="0.45">
      <c r="A6" s="1">
        <v>5</v>
      </c>
      <c r="B6" s="1" t="s">
        <v>59</v>
      </c>
      <c r="C6" s="1">
        <v>4870</v>
      </c>
      <c r="D6" s="1" t="s">
        <v>299</v>
      </c>
      <c r="E6" s="1" t="s">
        <v>25</v>
      </c>
      <c r="F6" s="2" t="s">
        <v>300</v>
      </c>
      <c r="G6" s="1" t="s">
        <v>301</v>
      </c>
    </row>
    <row r="7" spans="1:7" ht="25.5" x14ac:dyDescent="0.45">
      <c r="A7" s="1">
        <v>6</v>
      </c>
      <c r="B7" s="1" t="s">
        <v>59</v>
      </c>
      <c r="C7" s="1">
        <v>8439</v>
      </c>
      <c r="D7" s="1" t="s">
        <v>287</v>
      </c>
      <c r="E7" s="1" t="s">
        <v>25</v>
      </c>
      <c r="F7" s="2" t="s">
        <v>302</v>
      </c>
      <c r="G7" s="1" t="s">
        <v>303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Statistics</vt:lpstr>
      <vt:lpstr>(a) Entity Mistranslation</vt:lpstr>
      <vt:lpstr>(b) Value Typo-Error</vt:lpstr>
      <vt:lpstr>(c) Added-Dropped Constraints</vt:lpstr>
      <vt:lpstr>(d) Transliteration Mismatch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Abdulrahman Aloraini</cp:lastModifiedBy>
  <cp:revision>1</cp:revision>
  <dcterms:created xsi:type="dcterms:W3CDTF">2026-08-19T12:24:32Z</dcterms:created>
  <dcterms:modified xsi:type="dcterms:W3CDTF">2026-08-20T17:15:48Z</dcterms:modified>
  <dc:language>en-US</dc:language>
</cp:coreProperties>
</file>